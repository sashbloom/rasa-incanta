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mycfosp-my.sharepoint.com/personal/mahak_advani_roibypractus_com/Documents/Mahak/Pre-sales Improvement/"/>
    </mc:Choice>
  </mc:AlternateContent>
  <xr:revisionPtr revIDLastSave="0" documentId="8_{7E2E734B-4F34-4DC9-890D-01680E3908E3}" xr6:coauthVersionLast="47" xr6:coauthVersionMax="47" xr10:uidLastSave="{00000000-0000-0000-0000-000000000000}"/>
  <bookViews>
    <workbookView xWindow="-110" yWindow="-110" windowWidth="19420" windowHeight="10300" xr2:uid="{DB37F581-7596-4879-B794-801028A4DED7}"/>
  </bookViews>
  <sheets>
    <sheet name="Clients" sheetId="1" r:id="rId1"/>
    <sheet name="Dashboard" sheetId="3" r:id="rId2"/>
  </sheets>
  <externalReferences>
    <externalReference r:id="rId3"/>
  </externalReferences>
  <definedNames>
    <definedName name="_xlnm._FilterDatabase" localSheetId="0" hidden="1">Clients!$A$1:$D$270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0" i="1" l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I2" i="3"/>
  <c r="F6" i="3"/>
  <c r="F7" i="3"/>
  <c r="F8" i="3"/>
  <c r="F9" i="3"/>
  <c r="F10" i="3"/>
  <c r="F11" i="3"/>
  <c r="F12" i="3"/>
  <c r="F13" i="3"/>
  <c r="F14" i="3"/>
  <c r="F15" i="3"/>
  <c r="F16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C7" i="3" l="1"/>
  <c r="C8" i="3"/>
  <c r="C9" i="3"/>
  <c r="C10" i="3"/>
  <c r="C11" i="3"/>
  <c r="G10" i="3"/>
  <c r="C38" i="3"/>
  <c r="C37" i="3"/>
  <c r="G7" i="3"/>
  <c r="G8" i="3"/>
  <c r="G11" i="3"/>
  <c r="G12" i="3"/>
  <c r="G13" i="3"/>
  <c r="G14" i="3"/>
  <c r="G15" i="3"/>
  <c r="G16" i="3"/>
  <c r="C23" i="3"/>
  <c r="C13" i="3"/>
  <c r="C15" i="3"/>
  <c r="C36" i="3"/>
  <c r="C14" i="3"/>
  <c r="C16" i="3"/>
  <c r="C17" i="3"/>
  <c r="C22" i="3"/>
  <c r="C24" i="3"/>
  <c r="C25" i="3"/>
  <c r="C26" i="3"/>
  <c r="C27" i="3"/>
  <c r="C28" i="3"/>
  <c r="C35" i="3"/>
  <c r="C29" i="3"/>
  <c r="C30" i="3"/>
  <c r="C34" i="3"/>
  <c r="G9" i="3"/>
  <c r="B39" i="3"/>
  <c r="C6" i="3"/>
  <c r="G6" i="3"/>
  <c r="F17" i="3"/>
  <c r="M2" i="3" a="1"/>
  <c r="Q2" i="3"/>
  <c r="C31" i="3"/>
  <c r="C32" i="3"/>
  <c r="C33" i="3"/>
  <c r="C18" i="3"/>
  <c r="C19" i="3"/>
  <c r="C20" i="3"/>
  <c r="C21" i="3"/>
  <c r="C12" i="3"/>
  <c r="K2" i="3" a="1"/>
  <c r="O2" i="3"/>
  <c r="G17" i="3" l="1"/>
  <c r="C39" i="3"/>
  <c r="M2" i="3"/>
  <c r="K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<sst xmlns="http://schemas.openxmlformats.org/spreadsheetml/2006/main" count="874" uniqueCount="331">
  <si>
    <t>Client Name</t>
  </si>
  <si>
    <t>Industry</t>
  </si>
  <si>
    <t>Ownership type</t>
  </si>
  <si>
    <t>Service Line</t>
  </si>
  <si>
    <t xml:space="preserve">
Servion Global Solutions Inc</t>
  </si>
  <si>
    <t>ITES</t>
  </si>
  <si>
    <t>PE backed</t>
  </si>
  <si>
    <t>1000372721 Ontario Inc.</t>
  </si>
  <si>
    <t>Others</t>
  </si>
  <si>
    <t>3i Infotech Limited</t>
  </si>
  <si>
    <t>Public</t>
  </si>
  <si>
    <t>63ideas infolabs private limited</t>
  </si>
  <si>
    <t>B2B distribution</t>
  </si>
  <si>
    <t>Private limited</t>
  </si>
  <si>
    <t>7sHR Consulting Private Limited</t>
  </si>
  <si>
    <t>Professional Services</t>
  </si>
  <si>
    <t>Aarialife Technologies Pvt Ltd</t>
  </si>
  <si>
    <t>AB Mauri India Pvt Ltd</t>
  </si>
  <si>
    <t>FMCG</t>
  </si>
  <si>
    <t>Foreign MNC</t>
  </si>
  <si>
    <t xml:space="preserve">Accretive Cleantech Finance Private Limited </t>
  </si>
  <si>
    <t>BFSI</t>
  </si>
  <si>
    <t>Advaya Legal</t>
  </si>
  <si>
    <t>Partnership</t>
  </si>
  <si>
    <t>Allcargo Logistics Limited</t>
  </si>
  <si>
    <t>Logistics</t>
  </si>
  <si>
    <t>Amagi Media Labs Private Limited</t>
  </si>
  <si>
    <t>Media &amp; Entertainment</t>
  </si>
  <si>
    <t>Amarnath Partners</t>
  </si>
  <si>
    <t>Amikeva Private Limited</t>
  </si>
  <si>
    <t>Anian Interiors Private Limited</t>
  </si>
  <si>
    <t>Manufacturing</t>
  </si>
  <si>
    <t>Aniket International</t>
  </si>
  <si>
    <t>Trading &amp; Distributors</t>
  </si>
  <si>
    <t>Sole proprietorship</t>
  </si>
  <si>
    <t>Apex Kidney Care Pvt. Ltd</t>
  </si>
  <si>
    <t>Health care services</t>
  </si>
  <si>
    <t>AscenWork Technologies Private Limited</t>
  </si>
  <si>
    <t>ASG Hospitals Pvt Ltd</t>
  </si>
  <si>
    <t>Athena Consulting Partners</t>
  </si>
  <si>
    <t>Atmosphere Workspace Solutions Pvt Ltd</t>
  </si>
  <si>
    <t>Real Estate</t>
  </si>
  <si>
    <t>Avdat Lifestyle Private Limited</t>
  </si>
  <si>
    <t>Retail</t>
  </si>
  <si>
    <t>Banswara Syntex Limited</t>
  </si>
  <si>
    <t>Textile</t>
  </si>
  <si>
    <t>Bayview Digital Solutions Pvt Ltd</t>
  </si>
  <si>
    <t>Bharat Parenterals Limited</t>
  </si>
  <si>
    <t>Pharmaceuticals</t>
  </si>
  <si>
    <t>Bitonic Technology Labs Private Limited</t>
  </si>
  <si>
    <t>Technology - SAAS</t>
  </si>
  <si>
    <t>Body Cupid Private Limited</t>
  </si>
  <si>
    <t>Medikabazaar - All projects</t>
  </si>
  <si>
    <t>Brain Labs Bidco Limited</t>
  </si>
  <si>
    <t>BTG Legal Services</t>
  </si>
  <si>
    <t>Buildnext Construction Solutions Private Limited</t>
  </si>
  <si>
    <t>Infrastructure</t>
  </si>
  <si>
    <t xml:space="preserve">CAERE Pvt Ltd </t>
  </si>
  <si>
    <t>California Design Den Inc</t>
  </si>
  <si>
    <t>Cambridge SPA</t>
  </si>
  <si>
    <t>Education</t>
  </si>
  <si>
    <t>Careismatic Brands, LLC</t>
  </si>
  <si>
    <t>Catalent Pharma Solutions LLC</t>
  </si>
  <si>
    <t>Cellcure Cancer Centre Pvt Ltd </t>
  </si>
  <si>
    <t>Champion Seals India Private Limited</t>
  </si>
  <si>
    <t>Auto Component/ Ancilliary</t>
  </si>
  <si>
    <t>CHHAJED &amp; DOSHI</t>
  </si>
  <si>
    <t>Circular Edge</t>
  </si>
  <si>
    <t>Clear Skin Private Limited</t>
  </si>
  <si>
    <t>Cleartrip Private Limited</t>
  </si>
  <si>
    <t>Internet &amp; Direct Marketing Retail</t>
  </si>
  <si>
    <t>Cnergyis Infotech India Pvt Ltd</t>
  </si>
  <si>
    <t>Collective Newsroom Private Limited</t>
  </si>
  <si>
    <t>Cortland International Inc.</t>
  </si>
  <si>
    <t>Industrial Products</t>
  </si>
  <si>
    <t>Creative Garments Private Limited</t>
  </si>
  <si>
    <t>Creativity At Best Technologies Limited</t>
  </si>
  <si>
    <t>Crompton Greaves Consumer Electricals Limited</t>
  </si>
  <si>
    <t>Consumer goods industry</t>
  </si>
  <si>
    <t>Cube Highways and Transportation Assets Advisors Pvt. Ltd</t>
  </si>
  <si>
    <t>Cumballa Hill Hospital &amp; Heart Institute</t>
  </si>
  <si>
    <t>Cutting Crew Films LLP</t>
  </si>
  <si>
    <t>Cygnus Investment Corporation</t>
  </si>
  <si>
    <t>Dalberg Consulting US LLC</t>
  </si>
  <si>
    <t>Delaware Hotel Group</t>
  </si>
  <si>
    <t>Hotels, Restaurants &amp; Leisure</t>
  </si>
  <si>
    <t>Delhivery Limited</t>
  </si>
  <si>
    <t>Dev Ventures India Private Limited</t>
  </si>
  <si>
    <t>Dia Vikas Capital Private Limited</t>
  </si>
  <si>
    <t>DrillMec Inc</t>
  </si>
  <si>
    <t>Oils, Gas &amp; Consumable Fuels</t>
  </si>
  <si>
    <t>Dwija Foods Pvt Ltd</t>
  </si>
  <si>
    <t>ECL Finance Ltd</t>
  </si>
  <si>
    <t>Econocaribe Consolidators Inc</t>
  </si>
  <si>
    <t>Edelweiss Group</t>
  </si>
  <si>
    <t>Edvance Pre-schools Private Limited</t>
  </si>
  <si>
    <t>Education &amp; Edutec</t>
  </si>
  <si>
    <t>Eli Goldberg LLC CPA</t>
  </si>
  <si>
    <t>Enpro Industries Pvt Ltd</t>
  </si>
  <si>
    <t>Ensemble Fitout &amp; Fixture Pvt ltd</t>
  </si>
  <si>
    <t>Entisi</t>
  </si>
  <si>
    <t>EPL America, LLC</t>
  </si>
  <si>
    <t>Essentra Components UK</t>
  </si>
  <si>
    <t>EverEnviro Resources Management Pvt Ltd</t>
  </si>
  <si>
    <t>Evolgence Telecom Systems Pvt. Ltd.</t>
  </si>
  <si>
    <t>Telecom</t>
  </si>
  <si>
    <t>Exalto Emirates LLC</t>
  </si>
  <si>
    <t>Exel Rubber Private Limited</t>
  </si>
  <si>
    <t>Fable Street Lifestyle Solutions Private Limited</t>
  </si>
  <si>
    <t>FAFAI</t>
  </si>
  <si>
    <t>Ficus Pax Private Limited (UFPI)</t>
  </si>
  <si>
    <t>Flender Drives Private Limited</t>
  </si>
  <si>
    <t>Flipkart Internet Private Limited</t>
  </si>
  <si>
    <t>Retail &amp; E-com</t>
  </si>
  <si>
    <t>FocalPointK12</t>
  </si>
  <si>
    <t>Food Service India Private Limited</t>
  </si>
  <si>
    <t>Foundation to Educate Girls Globally</t>
  </si>
  <si>
    <t>Frankoski Construction Co., Inc.</t>
  </si>
  <si>
    <t>FRR Shares and Securites Ltd</t>
  </si>
  <si>
    <t>Future Pak, LLC</t>
  </si>
  <si>
    <t>GeBBS Healthcare Solutions Pvt. Ltd.</t>
  </si>
  <si>
    <t>Gemini Power Hydraulics Pvt. Ltd.</t>
  </si>
  <si>
    <t>Gharda Chemicals Limited</t>
  </si>
  <si>
    <t>Chemicals</t>
  </si>
  <si>
    <t>GMR Group</t>
  </si>
  <si>
    <t>Conglomerate</t>
  </si>
  <si>
    <t>Goldstar Jewellary Private Limited</t>
  </si>
  <si>
    <t>Greaves Electric Mobility Private Limited</t>
  </si>
  <si>
    <t>Automobiles</t>
  </si>
  <si>
    <t>Green Rain Ecommerce Private Limited</t>
  </si>
  <si>
    <t>Grey Matters Concepts</t>
  </si>
  <si>
    <t>GuruNanda</t>
  </si>
  <si>
    <t>Heckyl Technologies Private Limited</t>
  </si>
  <si>
    <t>Hertz Chemicals Private limited</t>
  </si>
  <si>
    <t>Hexagon Nutrition (Exports) Pvt. Ltd</t>
  </si>
  <si>
    <t>Hicare Services Private Limited</t>
  </si>
  <si>
    <t>Hindustan Platinum Private Limited</t>
  </si>
  <si>
    <t>Metals</t>
  </si>
  <si>
    <t>HKR Roadways Limited</t>
  </si>
  <si>
    <t>Human Capital for Third Sector</t>
  </si>
  <si>
    <t>IIV Health Solutions Private Limited</t>
  </si>
  <si>
    <t>Imarticus Learning Private Limited</t>
  </si>
  <si>
    <t>Indiana Grating Private Limited</t>
  </si>
  <si>
    <t>Infostretch Corporation (India) Private Limited</t>
  </si>
  <si>
    <t>Inkodop Technologies Private Limited</t>
  </si>
  <si>
    <t>Integrated Spaces Limited</t>
  </si>
  <si>
    <t>Intertrustgroup BV</t>
  </si>
  <si>
    <t>Iquanti Inc</t>
  </si>
  <si>
    <t>iSkillBox Learning Technologies Pvt. Ltd</t>
  </si>
  <si>
    <t>IVRCL Chengapalli Tollways Limited</t>
  </si>
  <si>
    <t>JD Healthcare</t>
  </si>
  <si>
    <t>Josh Software Private Limited</t>
  </si>
  <si>
    <t>Jotna Nigeria Limited</t>
  </si>
  <si>
    <t>Jusda India Supply Chain Management Private Limited</t>
  </si>
  <si>
    <t>KC Patel &amp; Co</t>
  </si>
  <si>
    <t>Keva Constructions - Advisory Support</t>
  </si>
  <si>
    <t>KEVA INDUSTRIES USA LLC - CFO Services</t>
  </si>
  <si>
    <t>Keva Group</t>
  </si>
  <si>
    <t>Family owned</t>
  </si>
  <si>
    <t>Knit Gallery India Private Limited</t>
  </si>
  <si>
    <t>Kobre &amp; Kim LLP US</t>
  </si>
  <si>
    <t>Konflake Tech Private Limited</t>
  </si>
  <si>
    <t>Krazy Kat Sportswear, LLC</t>
  </si>
  <si>
    <t>Lagom Labs Private Limited</t>
  </si>
  <si>
    <t>Legalogic</t>
  </si>
  <si>
    <t>Legasis Services Private Limited</t>
  </si>
  <si>
    <t>Lilac Insights Private Limited</t>
  </si>
  <si>
    <t>Linxens India Private Limited</t>
  </si>
  <si>
    <t>IT Hardware</t>
  </si>
  <si>
    <t>Logicserve Digital Private Limited</t>
  </si>
  <si>
    <t>Lucas Indian Service Limited</t>
  </si>
  <si>
    <t>Magnanimous Ventures Private Limited</t>
  </si>
  <si>
    <t>Mahindra Holidays &amp; Resorts India Limited</t>
  </si>
  <si>
    <t>Mahyco Private Limited</t>
  </si>
  <si>
    <t>Mani Realty Projects Private Limited</t>
  </si>
  <si>
    <t>Manlift India Private Limited</t>
  </si>
  <si>
    <t>Mark Bianchi Inc</t>
  </si>
  <si>
    <t xml:space="preserve">MCPL Limited </t>
  </si>
  <si>
    <t>Megha Engineering And Infrastructures Limited</t>
  </si>
  <si>
    <t>EPC Industry</t>
  </si>
  <si>
    <t>Micro Strategies</t>
  </si>
  <si>
    <t>MMD Group</t>
  </si>
  <si>
    <t xml:space="preserve">More Retail Private Limited </t>
  </si>
  <si>
    <t>Naik Wealth Planners Private Limited</t>
  </si>
  <si>
    <t>Narayana Hrudayalaya Limited</t>
  </si>
  <si>
    <t>NM Medical Centre - unit of N Mohanlal &amp; Co Pvt Ltd</t>
  </si>
  <si>
    <t xml:space="preserve">NMK Textiles Private Limited </t>
  </si>
  <si>
    <t>NorthLadder Trading LLC</t>
  </si>
  <si>
    <t>Oakhill Management Inc</t>
  </si>
  <si>
    <t>Omega Kemix</t>
  </si>
  <si>
    <t>Omprakash Packaging Private Limited</t>
  </si>
  <si>
    <t>One Space Development Management LLP</t>
  </si>
  <si>
    <t>Outleap Technologies Private Limited</t>
  </si>
  <si>
    <t>Paawak Foods</t>
  </si>
  <si>
    <t>Padam International</t>
  </si>
  <si>
    <t>Pakka Limited</t>
  </si>
  <si>
    <t>Param Renewable Energy Private Limited</t>
  </si>
  <si>
    <t>Paramatrix Technologies Limited</t>
  </si>
  <si>
    <t>Parkhill Energy Group Inc</t>
  </si>
  <si>
    <t>Peoplelan LLP</t>
  </si>
  <si>
    <t>Petro IT</t>
  </si>
  <si>
    <t>PGP Glass Private Limited</t>
  </si>
  <si>
    <t>Pidiite Group</t>
  </si>
  <si>
    <t>Piramal Critical Care - Diagnostic Mandate</t>
  </si>
  <si>
    <t>Piramal Group</t>
  </si>
  <si>
    <t>Pluto Seven Business Solutions Private Limited</t>
  </si>
  <si>
    <t>PMJ Jewels - Analytics</t>
  </si>
  <si>
    <t xml:space="preserve">Prachetas </t>
  </si>
  <si>
    <t>Prepbytes Technologies Private Limited</t>
  </si>
  <si>
    <t>Prescinto Technologies Private Limited</t>
  </si>
  <si>
    <t>Printo Document Services Private Limited</t>
  </si>
  <si>
    <t>Proactive Consultants Private Limited</t>
  </si>
  <si>
    <t>Project Naples</t>
  </si>
  <si>
    <t>Prudent Insurance Brokers Pvt. Ltd</t>
  </si>
  <si>
    <t>Purandar Fine Chemicals Private Limited</t>
  </si>
  <si>
    <t>Qodenext India Private Limited</t>
  </si>
  <si>
    <t>Qure.ai Technologies Private Limited</t>
  </si>
  <si>
    <t>Health care - Equipment</t>
  </si>
  <si>
    <t>Racing Promotions Private Limited</t>
  </si>
  <si>
    <t>Radiance Renewables Private Limited</t>
  </si>
  <si>
    <t>Raychem RPG</t>
  </si>
  <si>
    <t>Joint venture</t>
  </si>
  <si>
    <t>RayIOT Solutions Inc</t>
  </si>
  <si>
    <t>Recur Club - Printo Ref</t>
  </si>
  <si>
    <t>Repos Energy India Private Limited</t>
  </si>
  <si>
    <t>Resilia Pharmaceuticals</t>
  </si>
  <si>
    <t>Rightskale</t>
  </si>
  <si>
    <t>Rimedo Advisory Pvt Ltd</t>
  </si>
  <si>
    <t xml:space="preserve">Riskpro India Private Limited </t>
  </si>
  <si>
    <t>Rotam Agrochemical Company Pvt. Ltd.</t>
  </si>
  <si>
    <t>Royal Western India Turf Club Limited</t>
  </si>
  <si>
    <t>RSB Group</t>
  </si>
  <si>
    <t>RSB Zoho Referral Fee</t>
  </si>
  <si>
    <t>Samrat Irons Private Limited</t>
  </si>
  <si>
    <t>Sanctum Wealth Private Limited</t>
  </si>
  <si>
    <t>Santa Bella</t>
  </si>
  <si>
    <t>SBIcap Ventures Limited</t>
  </si>
  <si>
    <t>Scalene Works People Solution LLP</t>
  </si>
  <si>
    <t>Sedemac Mechatronics Private Limited</t>
  </si>
  <si>
    <t>Sequent Scientific Limited</t>
  </si>
  <si>
    <t>Shemaroo Entertainment Limited</t>
  </si>
  <si>
    <t>Shore Auto Rubber Exports Private Limited</t>
  </si>
  <si>
    <t>Shreeton Textiles Contracts Private Limited</t>
  </si>
  <si>
    <t>Simplilearn Solutions Private Limited</t>
  </si>
  <si>
    <t>SiriusAI, Inc.</t>
  </si>
  <si>
    <t>Sleek International Private Limited</t>
  </si>
  <si>
    <t>Soft Corner</t>
  </si>
  <si>
    <t>Softgel Healthcare Pvt Ltd</t>
  </si>
  <si>
    <t>Solarsquare Energy Private Limited</t>
  </si>
  <si>
    <t>Solomon and Co</t>
  </si>
  <si>
    <t>Solvy Tech Solutions Private limited</t>
  </si>
  <si>
    <t>South Indian Education Society</t>
  </si>
  <si>
    <t>Sovereign Pharma Private Limited</t>
  </si>
  <si>
    <t>Spice Money Limited</t>
  </si>
  <si>
    <t>Standav Corp</t>
  </si>
  <si>
    <t>Star Engineers india pvt ltd</t>
  </si>
  <si>
    <t>Suminter India Organics Private Limited</t>
  </si>
  <si>
    <t>Sunrise Pharma</t>
  </si>
  <si>
    <t>Supreme Universal Pvt. Ltd.</t>
  </si>
  <si>
    <t>Swift Prepaid Solutions Inc.</t>
  </si>
  <si>
    <t>Swiss Beauty Cosmetics Private Limited</t>
  </si>
  <si>
    <t>Symbo India Insurance Broking Pvt Ltd</t>
  </si>
  <si>
    <t>Tata International Ltd</t>
  </si>
  <si>
    <t>Indian MNC</t>
  </si>
  <si>
    <t>TATA Teleservices (Maharashtra) Limited</t>
  </si>
  <si>
    <t>Tdfs3 Digitalfifth Private Limited</t>
  </si>
  <si>
    <t>Theobroma Foods Private Limited</t>
  </si>
  <si>
    <t>Third Quotient IT Consultancy LLP</t>
  </si>
  <si>
    <t>Times Edutech and Events Limited</t>
  </si>
  <si>
    <t>Trent Limited</t>
  </si>
  <si>
    <t>Tufropes Private Limited</t>
  </si>
  <si>
    <t>Tulio Textile Manufacturing CFO</t>
  </si>
  <si>
    <t>UIB Holdings Pte. Ltd</t>
  </si>
  <si>
    <t>Ultra Corpotech Pvt. Ltd</t>
  </si>
  <si>
    <t>Ultrahuman Healthcare Private Limited</t>
  </si>
  <si>
    <t>Ultramarine &amp; Pigments Ltd</t>
  </si>
  <si>
    <t>Upgrad Education Private limited</t>
  </si>
  <si>
    <t>Vardaraj Cement</t>
  </si>
  <si>
    <t>Vertoz Limited</t>
  </si>
  <si>
    <t>VF Worldwide Holdings Limited</t>
  </si>
  <si>
    <t>Vgyaan Pharmaceuticals</t>
  </si>
  <si>
    <t>VIR Ventures Inc</t>
  </si>
  <si>
    <t>Visceral Technology Private Limited</t>
  </si>
  <si>
    <t>Viyash Life Sciences Private Limited</t>
  </si>
  <si>
    <t>Walter Merkas</t>
  </si>
  <si>
    <t>Waste Warriors Society</t>
  </si>
  <si>
    <t>Welspun Group</t>
  </si>
  <si>
    <t>Legacy projects</t>
  </si>
  <si>
    <t>Whistledrive Private Limited</t>
  </si>
  <si>
    <t>WithumSmith+Brown, P.C.</t>
  </si>
  <si>
    <t>Woodward Pharma Services LLC_x000D_</t>
  </si>
  <si>
    <t>World of Stones Private Limited</t>
  </si>
  <si>
    <t>Worldwide Initiatives for Grantmaker Support</t>
  </si>
  <si>
    <t>Yantra Tech Innovation Lab Pvt Ltd</t>
  </si>
  <si>
    <t>ZADN &amp; Associates</t>
  </si>
  <si>
    <t>Zensoft Services Private Limited</t>
  </si>
  <si>
    <t>Perplexity AI FP&amp;A</t>
  </si>
  <si>
    <t>IGI US FTO</t>
  </si>
  <si>
    <t>FRR Immigration</t>
  </si>
  <si>
    <t>KNAV Advisory Inc.</t>
  </si>
  <si>
    <t>Profile Pharma</t>
  </si>
  <si>
    <t>Quadlabs</t>
  </si>
  <si>
    <t>Supriya Sehgal</t>
  </si>
  <si>
    <t>Masters Union</t>
  </si>
  <si>
    <t>Keystone</t>
  </si>
  <si>
    <t>Display Data</t>
  </si>
  <si>
    <t>Animoca</t>
  </si>
  <si>
    <t>Division10</t>
  </si>
  <si>
    <t>Ekatra</t>
  </si>
  <si>
    <t>Milteny Biotech</t>
  </si>
  <si>
    <t>Wealthfirst</t>
  </si>
  <si>
    <t>Akums</t>
  </si>
  <si>
    <t>Neo Wealth Management</t>
  </si>
  <si>
    <t>Lhasa OMS</t>
  </si>
  <si>
    <t>Aroa ventures</t>
  </si>
  <si>
    <t>Shoft shipyard</t>
  </si>
  <si>
    <t>Infokort Emami</t>
  </si>
  <si>
    <t>CLIENT DASHBOARD</t>
  </si>
  <si>
    <t>Total Clients</t>
  </si>
  <si>
    <t>Industries</t>
  </si>
  <si>
    <t>Ownership Types</t>
  </si>
  <si>
    <t>Top Industry</t>
  </si>
  <si>
    <t>Top Ownership</t>
  </si>
  <si>
    <t>Summary by Industry &amp; Ownership Type</t>
  </si>
  <si>
    <t>INDUSTRY BREAKDOWN</t>
  </si>
  <si>
    <t>OWNERSHIP TYPE BREAKDOWN</t>
  </si>
  <si>
    <t>Count</t>
  </si>
  <si>
    <t>Percentage</t>
  </si>
  <si>
    <t>Ownership Type</t>
  </si>
  <si>
    <t>TOTAL</t>
  </si>
  <si>
    <t>Data Source: Clients sheet | Dashboard auto-updates when source data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</si>
</sst>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i/>
      <sz val="12"/>
      <color rgb="FF666666"/>
      <name val="Aptos Narrow"/>
      <family val="2"/>
      <scheme val="minor"/>
    </font>
    <font>
      <b/>
      <sz val="14"/>
      <color rgb="FF2E75B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24"/>
      <color rgb="FF2E75B6"/>
      <name val="Aptos Narrow"/>
      <family val="2"/>
      <scheme val="minor"/>
    </font>
    <font>
      <i/>
      <sz val="9"/>
      <color rgb="FF99999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4" borderId="0" xfId="0" applyFont="1" applyFill="1"/>
    <xf numFmtId="164" fontId="2" fillId="4" borderId="0" xfId="0" applyNumberFormat="1" applyFont="1" applyFill="1"/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9" fillId="0" borderId="0" xfId="0" applyFont="1"/>
    <xf numFmtId="0" fontId="0" fillId="0" borderId="1" xfId="0" applyBorder="1"/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Clients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Dashboard!$A$6:$A$38</c:f>
              <c:strCache>
                <c:ptCount val="33"/>
                <c:pt idx="0">
                  <c:v>Auto Component/ Ancilliary</c:v>
                </c:pt>
                <c:pt idx="1">
                  <c:v>Automobiles</c:v>
                </c:pt>
                <c:pt idx="2">
                  <c:v>B2B distribution</c:v>
                </c:pt>
                <c:pt idx="3">
                  <c:v>BFSI</c:v>
                </c:pt>
                <c:pt idx="4">
                  <c:v>Chemicals</c:v>
                </c:pt>
                <c:pt idx="5">
                  <c:v>Consumer goods industry</c:v>
                </c:pt>
                <c:pt idx="6">
                  <c:v>Education</c:v>
                </c:pt>
                <c:pt idx="7">
                  <c:v>Education &amp; Edutec</c:v>
                </c:pt>
                <c:pt idx="8">
                  <c:v>EPC Industry</c:v>
                </c:pt>
                <c:pt idx="9">
                  <c:v>FMCG</c:v>
                </c:pt>
                <c:pt idx="10">
                  <c:v>Health care - Equipment</c:v>
                </c:pt>
                <c:pt idx="11">
                  <c:v>Health care services</c:v>
                </c:pt>
                <c:pt idx="12">
                  <c:v>Hotels, Restaurants &amp; Leisure</c:v>
                </c:pt>
                <c:pt idx="13">
                  <c:v>Industrial Products</c:v>
                </c:pt>
                <c:pt idx="14">
                  <c:v>Infrastructure</c:v>
                </c:pt>
                <c:pt idx="15">
                  <c:v>Internet &amp; Direct Marketing Retail</c:v>
                </c:pt>
                <c:pt idx="16">
                  <c:v>IT Hardware</c:v>
                </c:pt>
                <c:pt idx="17">
                  <c:v>ITES</c:v>
                </c:pt>
                <c:pt idx="18">
                  <c:v>Logistics</c:v>
                </c:pt>
                <c:pt idx="19">
                  <c:v>Manufacturing</c:v>
                </c:pt>
                <c:pt idx="20">
                  <c:v>Media &amp; Entertainment</c:v>
                </c:pt>
                <c:pt idx="21">
                  <c:v>Metals</c:v>
                </c:pt>
                <c:pt idx="22">
                  <c:v>Oils, Gas &amp; Consumable Fuels</c:v>
                </c:pt>
                <c:pt idx="23">
                  <c:v>Others</c:v>
                </c:pt>
                <c:pt idx="24">
                  <c:v>Pharmaceuticals</c:v>
                </c:pt>
                <c:pt idx="25">
                  <c:v>Professional Services</c:v>
                </c:pt>
                <c:pt idx="26">
                  <c:v>Real Estate</c:v>
                </c:pt>
                <c:pt idx="27">
                  <c:v>Retail</c:v>
                </c:pt>
                <c:pt idx="28">
                  <c:v>Retail &amp; E-com</c:v>
                </c:pt>
                <c:pt idx="29">
                  <c:v>Technology - SAAS</c:v>
                </c:pt>
                <c:pt idx="30">
                  <c:v>Telecom</c:v>
                </c:pt>
                <c:pt idx="31">
                  <c:v>Textile</c:v>
                </c:pt>
                <c:pt idx="32">
                  <c:v>Trading &amp; Distributors</c:v>
                </c:pt>
              </c:strCache>
            </c:strRef>
          </c:cat>
          <c:val>
            <c:numRef>
              <c:f>Dashboard!$B$6:$B$38</c:f>
              <c:numCache>
                <c:formatCode>General</c:formatCode>
                <c:ptCount val="33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17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9</c:v>
                </c:pt>
                <c:pt idx="8">
                  <c:v>1</c:v>
                </c:pt>
                <c:pt idx="9">
                  <c:v>12</c:v>
                </c:pt>
                <c:pt idx="10">
                  <c:v>3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23</c:v>
                </c:pt>
                <c:pt idx="18">
                  <c:v>6</c:v>
                </c:pt>
                <c:pt idx="19">
                  <c:v>15</c:v>
                </c:pt>
                <c:pt idx="20">
                  <c:v>5</c:v>
                </c:pt>
                <c:pt idx="21">
                  <c:v>2</c:v>
                </c:pt>
                <c:pt idx="22">
                  <c:v>6</c:v>
                </c:pt>
                <c:pt idx="23">
                  <c:v>27</c:v>
                </c:pt>
                <c:pt idx="24">
                  <c:v>13</c:v>
                </c:pt>
                <c:pt idx="25">
                  <c:v>28</c:v>
                </c:pt>
                <c:pt idx="26">
                  <c:v>5</c:v>
                </c:pt>
                <c:pt idx="27">
                  <c:v>7</c:v>
                </c:pt>
                <c:pt idx="28">
                  <c:v>2</c:v>
                </c:pt>
                <c:pt idx="29">
                  <c:v>18</c:v>
                </c:pt>
                <c:pt idx="30">
                  <c:v>2</c:v>
                </c:pt>
                <c:pt idx="31">
                  <c:v>9</c:v>
                </c:pt>
                <c:pt idx="3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7-4BC5-BF58-B43B8CA89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235551"/>
        <c:axId val="1690236031"/>
      </c:barChart>
      <c:catAx>
        <c:axId val="169023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36031"/>
        <c:crosses val="autoZero"/>
        <c:auto val="1"/>
        <c:lblAlgn val="ctr"/>
        <c:lblOffset val="100"/>
        <c:noMultiLvlLbl val="0"/>
      </c:catAx>
      <c:valAx>
        <c:axId val="169023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Clients by Ownership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4-4F0A-A5E4-838D6AEAA7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4-4F0A-A5E4-838D6AEAA7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74-4F0A-A5E4-838D6AEAA7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74-4F0A-A5E4-838D6AEAA7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74-4F0A-A5E4-838D6AEAA7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74-4F0A-A5E4-838D6AEAA7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74-4F0A-A5E4-838D6AEAA7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74-4F0A-A5E4-838D6AEAA7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E74-4F0A-A5E4-838D6AEAA7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E74-4F0A-A5E4-838D6AEAA7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E74-4F0A-A5E4-838D6AEAA7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Dashboard!$E$6:$E$16</c:f>
              <c:strCache>
                <c:ptCount val="11"/>
                <c:pt idx="0">
                  <c:v>Private limited</c:v>
                </c:pt>
                <c:pt idx="1">
                  <c:v>Public</c:v>
                </c:pt>
                <c:pt idx="2">
                  <c:v>PE backed</c:v>
                </c:pt>
                <c:pt idx="3">
                  <c:v>Foreign MNC</c:v>
                </c:pt>
                <c:pt idx="4">
                  <c:v>Partnership</c:v>
                </c:pt>
                <c:pt idx="5">
                  <c:v>Family owned</c:v>
                </c:pt>
                <c:pt idx="6">
                  <c:v>Conglomerate</c:v>
                </c:pt>
                <c:pt idx="7">
                  <c:v>Indian MNC</c:v>
                </c:pt>
                <c:pt idx="8">
                  <c:v>Joint venture</c:v>
                </c:pt>
                <c:pt idx="9">
                  <c:v>Sole proprietorship</c:v>
                </c:pt>
                <c:pt idx="10">
                  <c:v>Others</c:v>
                </c:pt>
              </c:strCache>
            </c:strRef>
          </c:cat>
          <c:val>
            <c:numRef>
              <c:f>Dashboard!$F$6:$F$16</c:f>
              <c:numCache>
                <c:formatCode>General</c:formatCode>
                <c:ptCount val="11"/>
                <c:pt idx="0">
                  <c:v>141</c:v>
                </c:pt>
                <c:pt idx="1">
                  <c:v>30</c:v>
                </c:pt>
                <c:pt idx="2">
                  <c:v>18</c:v>
                </c:pt>
                <c:pt idx="3">
                  <c:v>40</c:v>
                </c:pt>
                <c:pt idx="4">
                  <c:v>12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1-486E-B44F-466E06A9D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D44BB-94CB-2D50-CC43-467EC4F36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73AB2-E034-A425-6197-4AA12097A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cfosp-my.sharepoint.com/personal/mahak_advani_roibypractus_com/Documents/Mahak/BD%20Board%20Presentation/DQ'25/BD%20Board%20presentation%20Input_Growth%20Office_20260113.xlsx" TargetMode="External"/><Relationship Id="rId2" Type="http://schemas.openxmlformats.org/officeDocument/2006/relationships/externalLinkPath" Target="https://mycfosp-my.sharepoint.com/personal/mahak_advani_roibypractus_com/Documents/Mahak/BD%20Board%20Presentation/DQ'25/BD%20Board%20presentation%20Input_Growth%20Office_20260113.xlsx" TargetMode="External"/><Relationship Id="rId1" Type="http://schemas.openxmlformats.org/officeDocument/2006/relationships/externalLinkPath" Target="/personal/mahak_advani_roibypractus_com/Documents/Mahak/BD%20Board%20Presentation/DQ'25/BD%20Board%20presentation%20Input_Growth%20Office_202601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ey Metrics"/>
      <sheetName val="By Project"/>
      <sheetName val="Charts"/>
      <sheetName val="Committed forecasts_Jan 12"/>
      <sheetName val="13-1-2026"/>
      <sheetName val="16-10-2025 (Deals)"/>
      <sheetName val="By Relationship"/>
      <sheetName val="Short Mandates"/>
      <sheetName val="Short Mandate_Base Data"/>
      <sheetName val="Partners"/>
      <sheetName val="Revenue"/>
      <sheetName val="Master"/>
      <sheetName val="Deals_15Dec"/>
      <sheetName val="01-04-2025 (Deals)"/>
      <sheetName val="20-07-2025 (Deals)"/>
      <sheetName val="20-07-2025 (Deals)XX"/>
      <sheetName val="Committed forecasts_Jul 21"/>
      <sheetName val="Detail1"/>
      <sheetName val="Revenue budget FY26"/>
      <sheetName val="Funnel"/>
    </sheetNames>
    <sheetDataSet>
      <sheetData sheetId="0" refreshError="1"/>
      <sheetData sheetId="1">
        <row r="3">
          <cell r="CK3">
            <v>10.046169625523227</v>
          </cell>
        </row>
        <row r="6">
          <cell r="B6" t="str">
            <v>Customer group for relationship</v>
          </cell>
          <cell r="C6" t="str">
            <v>Service line</v>
          </cell>
        </row>
        <row r="7">
          <cell r="B7" t="str">
            <v xml:space="preserve">
Servion Global Solutions Inc</v>
          </cell>
          <cell r="C7" t="str">
            <v>Legacy projects</v>
          </cell>
        </row>
        <row r="8">
          <cell r="B8" t="str">
            <v>1000372721 Ontario Inc.</v>
          </cell>
          <cell r="C8" t="str">
            <v>Legacy projects</v>
          </cell>
        </row>
        <row r="9">
          <cell r="B9" t="str">
            <v>3i Infotech Limited</v>
          </cell>
          <cell r="C9" t="str">
            <v>Ignore for now</v>
          </cell>
        </row>
        <row r="10">
          <cell r="B10" t="str">
            <v>63ideas infolabs private limited</v>
          </cell>
          <cell r="C10" t="str">
            <v>Ignore for now</v>
          </cell>
        </row>
        <row r="11">
          <cell r="B11" t="str">
            <v>7sHR Consulting Private Limited</v>
          </cell>
          <cell r="C11" t="str">
            <v>Ignore for now</v>
          </cell>
        </row>
        <row r="12">
          <cell r="B12" t="str">
            <v>Aarialife Technologies Pvt Ltd</v>
          </cell>
          <cell r="C12" t="str">
            <v>Legacy projects</v>
          </cell>
        </row>
        <row r="13">
          <cell r="B13" t="str">
            <v>AB Mauri India Pvt Ltd</v>
          </cell>
          <cell r="C13" t="str">
            <v>Legacy projects</v>
          </cell>
        </row>
        <row r="14">
          <cell r="B14" t="str">
            <v xml:space="preserve">Accretive Cleantech Finance Private Limited </v>
          </cell>
          <cell r="C14" t="str">
            <v>Ignore for now</v>
          </cell>
        </row>
        <row r="15">
          <cell r="B15" t="str">
            <v>Advaya Legal</v>
          </cell>
          <cell r="C15" t="str">
            <v>Ignore for now</v>
          </cell>
        </row>
        <row r="16">
          <cell r="B16" t="str">
            <v>BTG Legal Services</v>
          </cell>
          <cell r="C16" t="str">
            <v>Strategy and Growth</v>
          </cell>
        </row>
        <row r="17">
          <cell r="B17" t="str">
            <v>Allcargo Logistics Limited</v>
          </cell>
          <cell r="C17" t="str">
            <v>Legacy projects</v>
          </cell>
        </row>
        <row r="18">
          <cell r="B18" t="str">
            <v>Amagi Media Labs Private Limited</v>
          </cell>
          <cell r="C18" t="str">
            <v>Ignore for now</v>
          </cell>
        </row>
        <row r="19">
          <cell r="B19" t="str">
            <v>Amarnath Partners</v>
          </cell>
          <cell r="C19" t="str">
            <v>Legacy projects</v>
          </cell>
        </row>
        <row r="20">
          <cell r="B20" t="str">
            <v>Amikeva Private Limited</v>
          </cell>
          <cell r="C20" t="str">
            <v>Ignore for now</v>
          </cell>
        </row>
        <row r="21">
          <cell r="B21" t="str">
            <v>Anian Interiors Private Limited</v>
          </cell>
          <cell r="C21" t="str">
            <v>Strategy and Growth</v>
          </cell>
        </row>
        <row r="22">
          <cell r="B22" t="str">
            <v>Aniket International</v>
          </cell>
          <cell r="C22" t="str">
            <v>Ignore for now</v>
          </cell>
        </row>
        <row r="23">
          <cell r="B23" t="str">
            <v>Apex Kidney Care Pvt. Ltd</v>
          </cell>
          <cell r="C23" t="str">
            <v>Operations Transformation</v>
          </cell>
        </row>
        <row r="24">
          <cell r="B24" t="str">
            <v>AscenWork Technologies Private Limited</v>
          </cell>
          <cell r="C24" t="str">
            <v>Ignore for now</v>
          </cell>
        </row>
        <row r="25">
          <cell r="B25" t="str">
            <v>ASG Hospitals Pvt Ltd</v>
          </cell>
          <cell r="C25" t="str">
            <v>Ignore for now</v>
          </cell>
        </row>
        <row r="26">
          <cell r="B26" t="str">
            <v>Athena Consulting Partners</v>
          </cell>
          <cell r="C26" t="str">
            <v>Strategic Finance Transformation</v>
          </cell>
        </row>
        <row r="27">
          <cell r="B27" t="str">
            <v>Athena Consulting Partners</v>
          </cell>
          <cell r="C27" t="str">
            <v>Strategic Finance Transformation</v>
          </cell>
        </row>
        <row r="28">
          <cell r="B28" t="str">
            <v>Atmosphere Workspace Solutions Pvt Ltd</v>
          </cell>
          <cell r="C28" t="str">
            <v>Ignore for now</v>
          </cell>
        </row>
        <row r="29">
          <cell r="B29" t="str">
            <v>Avdat Lifestyle Private Limited</v>
          </cell>
          <cell r="C29" t="str">
            <v>Ignore for now</v>
          </cell>
        </row>
        <row r="30">
          <cell r="B30" t="str">
            <v>Banswara Syntex Limited</v>
          </cell>
          <cell r="C30" t="str">
            <v>Ignore for now</v>
          </cell>
        </row>
        <row r="31">
          <cell r="B31" t="str">
            <v>Bayview Digital Solutions Pvt Ltd</v>
          </cell>
          <cell r="C31" t="str">
            <v>Ignore for now</v>
          </cell>
        </row>
        <row r="32">
          <cell r="B32" t="str">
            <v>Bharat Parenterals Limited</v>
          </cell>
          <cell r="C32" t="str">
            <v>Operations Transformation</v>
          </cell>
        </row>
        <row r="33">
          <cell r="B33" t="str">
            <v>Bitonic Technology Labs Private Limited</v>
          </cell>
          <cell r="C33" t="str">
            <v>Ignore for now</v>
          </cell>
        </row>
        <row r="34">
          <cell r="B34" t="str">
            <v>Body Cupid Private Limited</v>
          </cell>
          <cell r="C34" t="str">
            <v>Ignore for now</v>
          </cell>
        </row>
        <row r="35">
          <cell r="B35" t="str">
            <v>Medikabazaar - All projects</v>
          </cell>
          <cell r="C35" t="str">
            <v>Strategic Finance Transformation</v>
          </cell>
        </row>
        <row r="36">
          <cell r="B36" t="str">
            <v>Medikabazaar - All projects</v>
          </cell>
          <cell r="C36" t="str">
            <v>Strategic Finance Transformation</v>
          </cell>
        </row>
        <row r="37">
          <cell r="B37" t="str">
            <v>Medikabazaar - All projects</v>
          </cell>
          <cell r="C37" t="str">
            <v>Strategic Finance Transformation</v>
          </cell>
        </row>
        <row r="38">
          <cell r="B38" t="str">
            <v>Medikabazaar - All projects</v>
          </cell>
          <cell r="C38" t="str">
            <v>Strategic Finance Transformation</v>
          </cell>
        </row>
        <row r="39">
          <cell r="B39" t="str">
            <v>Medikabazaar - All projects</v>
          </cell>
          <cell r="C39" t="str">
            <v>Strategic Finance Transformation</v>
          </cell>
        </row>
        <row r="40">
          <cell r="B40" t="str">
            <v>Medikabazaar - All projects</v>
          </cell>
          <cell r="C40" t="str">
            <v>Operations Transformation</v>
          </cell>
        </row>
        <row r="41">
          <cell r="B41" t="str">
            <v>Brain Labs Bidco Limited</v>
          </cell>
          <cell r="C41" t="str">
            <v>Strategic Finance Transformation</v>
          </cell>
        </row>
        <row r="42">
          <cell r="B42" t="str">
            <v>BTG Legal Services</v>
          </cell>
          <cell r="C42" t="str">
            <v>Strategy and Growth</v>
          </cell>
        </row>
        <row r="43">
          <cell r="B43" t="str">
            <v>Buildnext Construction Solutions Private Limited</v>
          </cell>
          <cell r="C43" t="str">
            <v>Ignore for now</v>
          </cell>
        </row>
        <row r="44">
          <cell r="B44" t="str">
            <v xml:space="preserve">CAERE Pvt Ltd </v>
          </cell>
          <cell r="C44" t="str">
            <v>Strategy and Growth</v>
          </cell>
        </row>
        <row r="45">
          <cell r="B45" t="str">
            <v>California Design Den Inc</v>
          </cell>
          <cell r="C45" t="str">
            <v>Legacy projects</v>
          </cell>
        </row>
        <row r="46">
          <cell r="B46" t="str">
            <v>Cambridge SPA</v>
          </cell>
          <cell r="C46" t="str">
            <v>Ignore for now</v>
          </cell>
        </row>
        <row r="47">
          <cell r="B47" t="str">
            <v>Careismatic Brands, LLC</v>
          </cell>
          <cell r="C47" t="str">
            <v>Ignore for now</v>
          </cell>
        </row>
        <row r="48">
          <cell r="B48" t="str">
            <v>Catalent Pharma Solutions LLC</v>
          </cell>
          <cell r="C48" t="str">
            <v>Ignore for now</v>
          </cell>
        </row>
        <row r="49">
          <cell r="B49" t="str">
            <v>Cellcure Cancer Centre Pvt Ltd </v>
          </cell>
          <cell r="C49" t="str">
            <v>Ignore for now</v>
          </cell>
        </row>
        <row r="50">
          <cell r="B50" t="str">
            <v>Champion Seals India Private Limited</v>
          </cell>
          <cell r="C50" t="str">
            <v>Strategy and Growth</v>
          </cell>
        </row>
        <row r="51">
          <cell r="B51" t="str">
            <v>CHHAJED &amp; DOSHI</v>
          </cell>
          <cell r="C51" t="str">
            <v>Legacy projects</v>
          </cell>
        </row>
        <row r="52">
          <cell r="B52" t="str">
            <v>Circular Edge</v>
          </cell>
          <cell r="C52" t="str">
            <v>Legacy projects</v>
          </cell>
        </row>
        <row r="53">
          <cell r="B53" t="str">
            <v>Clear Skin Private Limited</v>
          </cell>
          <cell r="C53" t="str">
            <v>Strategy and Growth</v>
          </cell>
        </row>
        <row r="54">
          <cell r="B54" t="str">
            <v>Cleartrip Private Limited</v>
          </cell>
          <cell r="C54" t="str">
            <v>Ignore for now</v>
          </cell>
        </row>
        <row r="55">
          <cell r="B55" t="str">
            <v>Cnergyis Infotech India Pvt Ltd</v>
          </cell>
          <cell r="C55" t="str">
            <v>Legacy projects</v>
          </cell>
        </row>
        <row r="56">
          <cell r="B56" t="str">
            <v>Collective Newsroom Private Limited</v>
          </cell>
          <cell r="C56" t="str">
            <v>Legacy projects</v>
          </cell>
        </row>
        <row r="57">
          <cell r="B57" t="str">
            <v>Cortland International Inc.</v>
          </cell>
          <cell r="C57" t="str">
            <v>Legacy projects</v>
          </cell>
        </row>
        <row r="58">
          <cell r="B58" t="str">
            <v>Creative Garments Private Limited</v>
          </cell>
          <cell r="C58" t="str">
            <v>Ignore for now</v>
          </cell>
        </row>
        <row r="59">
          <cell r="B59" t="str">
            <v>Creativity At Best Technologies Limited</v>
          </cell>
          <cell r="C59" t="str">
            <v>Strategic Finance Transformation</v>
          </cell>
        </row>
        <row r="60">
          <cell r="B60" t="str">
            <v>Crompton Greaves Consumer Electricals Limited</v>
          </cell>
          <cell r="C60" t="str">
            <v>Analytics as a Service</v>
          </cell>
        </row>
        <row r="61">
          <cell r="B61" t="str">
            <v>Cube Highways and Transportation Assets Advisors Pvt. Ltd</v>
          </cell>
          <cell r="C61" t="str">
            <v>Ignore for now</v>
          </cell>
        </row>
        <row r="62">
          <cell r="B62" t="str">
            <v>Cumballa Hill Hospital &amp; Heart Institute</v>
          </cell>
          <cell r="C62" t="str">
            <v>Ignore for now</v>
          </cell>
        </row>
        <row r="63">
          <cell r="B63" t="str">
            <v>Cutting Crew Films LLP</v>
          </cell>
          <cell r="C63" t="str">
            <v>Ignore for now</v>
          </cell>
        </row>
        <row r="64">
          <cell r="B64" t="str">
            <v>Cygnus Investment Corporation</v>
          </cell>
          <cell r="C64" t="str">
            <v>Legacy projects</v>
          </cell>
        </row>
        <row r="65">
          <cell r="B65" t="str">
            <v>Dalberg Consulting US LLC</v>
          </cell>
          <cell r="C65" t="str">
            <v>Ignore for now</v>
          </cell>
        </row>
        <row r="66">
          <cell r="B66" t="str">
            <v>Delaware Hotel Group</v>
          </cell>
          <cell r="C66" t="str">
            <v>Legacy projects</v>
          </cell>
        </row>
        <row r="67">
          <cell r="B67" t="str">
            <v>Delhivery Limited</v>
          </cell>
          <cell r="C67" t="str">
            <v>Ignore for now</v>
          </cell>
        </row>
        <row r="68">
          <cell r="B68" t="str">
            <v>Dev Ventures India Private Limited</v>
          </cell>
          <cell r="C68" t="str">
            <v>Strategy and Growth</v>
          </cell>
        </row>
        <row r="69">
          <cell r="B69" t="str">
            <v>Dia Vikas Capital Private Limited</v>
          </cell>
          <cell r="C69" t="str">
            <v>Ignore for now</v>
          </cell>
        </row>
        <row r="70">
          <cell r="B70" t="str">
            <v>DrillMec Inc</v>
          </cell>
          <cell r="C70" t="str">
            <v>Strategic Finance Transformation</v>
          </cell>
        </row>
        <row r="71">
          <cell r="B71" t="str">
            <v>Dwija Foods Pvt Ltd</v>
          </cell>
          <cell r="C71" t="str">
            <v>Ignore for now</v>
          </cell>
        </row>
        <row r="72">
          <cell r="B72" t="str">
            <v>ECL Finance Ltd</v>
          </cell>
          <cell r="C72" t="str">
            <v>Ignore for now</v>
          </cell>
        </row>
        <row r="73">
          <cell r="B73" t="str">
            <v>ECL Finance Ltd</v>
          </cell>
          <cell r="C73" t="str">
            <v>Strategic Finance Transformation</v>
          </cell>
        </row>
        <row r="74">
          <cell r="B74" t="str">
            <v>Econocaribe Consolidators Inc</v>
          </cell>
          <cell r="C74" t="str">
            <v>Legacy projects</v>
          </cell>
        </row>
        <row r="75">
          <cell r="B75" t="str">
            <v>Edelweiss Group</v>
          </cell>
          <cell r="C75" t="str">
            <v>Ignore for now</v>
          </cell>
        </row>
        <row r="76">
          <cell r="B76" t="str">
            <v>Edvance Pre-schools Private Limited</v>
          </cell>
          <cell r="C76" t="str">
            <v>Legacy projects</v>
          </cell>
        </row>
        <row r="77">
          <cell r="B77" t="str">
            <v>Eli Goldberg LLC CPA</v>
          </cell>
          <cell r="C77" t="str">
            <v>Ignore for now</v>
          </cell>
        </row>
        <row r="78">
          <cell r="B78" t="str">
            <v>Enpro Industries Pvt Ltd</v>
          </cell>
          <cell r="C78" t="str">
            <v>Legacy projects</v>
          </cell>
        </row>
        <row r="79">
          <cell r="B79" t="str">
            <v>Ensemble Fitout &amp; Fixture Pvt ltd</v>
          </cell>
          <cell r="C79" t="str">
            <v>Ignore for now</v>
          </cell>
        </row>
        <row r="80">
          <cell r="B80" t="str">
            <v>Entisi</v>
          </cell>
          <cell r="C80" t="str">
            <v>Legacy projects</v>
          </cell>
        </row>
        <row r="81">
          <cell r="B81" t="str">
            <v>EPL America, LLC</v>
          </cell>
          <cell r="C81" t="str">
            <v>Legacy projects</v>
          </cell>
        </row>
        <row r="82">
          <cell r="B82" t="str">
            <v>Essentra Components UK</v>
          </cell>
          <cell r="C82" t="str">
            <v>Strategic Finance Transformation</v>
          </cell>
        </row>
        <row r="83">
          <cell r="B83" t="str">
            <v>EverEnviro Resources Management Pvt Ltd</v>
          </cell>
          <cell r="C83" t="str">
            <v>Legacy projects</v>
          </cell>
        </row>
        <row r="84">
          <cell r="B84" t="str">
            <v>Evolgence Telecom Systems Pvt. Ltd.</v>
          </cell>
          <cell r="C84" t="str">
            <v>Ignore for now</v>
          </cell>
        </row>
        <row r="85">
          <cell r="B85" t="str">
            <v>Exalto Emirates LLC</v>
          </cell>
          <cell r="C85" t="str">
            <v>Strategy and Growth</v>
          </cell>
        </row>
        <row r="86">
          <cell r="B86" t="str">
            <v>Exel Rubber Private Limited</v>
          </cell>
          <cell r="C86" t="str">
            <v>Ignore for now</v>
          </cell>
        </row>
        <row r="87">
          <cell r="B87" t="str">
            <v>Exel Rubber Private Limited</v>
          </cell>
          <cell r="C87" t="str">
            <v>Legacy projects</v>
          </cell>
        </row>
        <row r="88">
          <cell r="B88" t="str">
            <v>Fable Street Lifestyle Solutions Private Limited</v>
          </cell>
          <cell r="C88" t="str">
            <v>Ignore for now</v>
          </cell>
        </row>
        <row r="89">
          <cell r="B89" t="str">
            <v>FAFAI</v>
          </cell>
          <cell r="C89" t="str">
            <v>Strategic Finance Transformation</v>
          </cell>
        </row>
        <row r="90">
          <cell r="B90" t="str">
            <v>Ficus Pax Private Limited (UFPI)</v>
          </cell>
          <cell r="C90" t="str">
            <v>Ignore for now</v>
          </cell>
        </row>
        <row r="91">
          <cell r="B91" t="str">
            <v>Flender Drives Private Limited</v>
          </cell>
          <cell r="C91" t="str">
            <v>Ignore for now</v>
          </cell>
        </row>
        <row r="92">
          <cell r="B92" t="str">
            <v>Flipkart Internet Private Limited</v>
          </cell>
          <cell r="C92" t="str">
            <v>Legacy projects</v>
          </cell>
        </row>
        <row r="93">
          <cell r="B93" t="str">
            <v>FocalPointK12</v>
          </cell>
          <cell r="C93" t="str">
            <v>Legacy projects</v>
          </cell>
        </row>
        <row r="94">
          <cell r="B94" t="str">
            <v>Food Service India Private Limited</v>
          </cell>
          <cell r="C94" t="str">
            <v>Legacy projects</v>
          </cell>
        </row>
        <row r="95">
          <cell r="B95" t="str">
            <v>Foundation to Educate Girls Globally</v>
          </cell>
          <cell r="C95" t="str">
            <v>Legacy projects</v>
          </cell>
        </row>
        <row r="96">
          <cell r="B96" t="str">
            <v>Frankoski Construction Co., Inc.</v>
          </cell>
          <cell r="C96" t="str">
            <v>Legacy projects</v>
          </cell>
        </row>
        <row r="97">
          <cell r="B97" t="str">
            <v>FRR Immigration</v>
          </cell>
          <cell r="C97" t="str">
            <v>Strategy and Growth</v>
          </cell>
        </row>
        <row r="98">
          <cell r="B98" t="str">
            <v>Future Pak, LLC</v>
          </cell>
          <cell r="C98" t="str">
            <v>Ignore for now</v>
          </cell>
        </row>
        <row r="99">
          <cell r="B99" t="str">
            <v>GeBBS Healthcare Solutions Pvt. Ltd.</v>
          </cell>
          <cell r="C99" t="str">
            <v>Ignore for now</v>
          </cell>
        </row>
        <row r="100">
          <cell r="B100" t="str">
            <v>Gemini Power Hydraulics Pvt. Ltd.</v>
          </cell>
          <cell r="C100" t="str">
            <v>Legacy projects</v>
          </cell>
        </row>
        <row r="101">
          <cell r="B101" t="str">
            <v>Gharda Chemicals Limited</v>
          </cell>
          <cell r="C101" t="str">
            <v>Strategic Finance Transformation</v>
          </cell>
        </row>
        <row r="102">
          <cell r="B102" t="str">
            <v>GMR Group</v>
          </cell>
          <cell r="C102" t="str">
            <v>Legacy projects</v>
          </cell>
        </row>
        <row r="103">
          <cell r="B103" t="str">
            <v>Goldstar Jewellary Private Limited</v>
          </cell>
          <cell r="C103" t="str">
            <v>Strategic Finance Transformation</v>
          </cell>
        </row>
        <row r="104">
          <cell r="B104" t="str">
            <v>Greaves Electric Mobility Private Limited</v>
          </cell>
          <cell r="C104" t="str">
            <v>Legacy projects</v>
          </cell>
        </row>
        <row r="105">
          <cell r="B105" t="str">
            <v>Green Rain Ecommerce Private Limited</v>
          </cell>
          <cell r="C105" t="str">
            <v>Legacy projects</v>
          </cell>
        </row>
        <row r="106">
          <cell r="B106" t="str">
            <v>Grey Matters Concepts</v>
          </cell>
          <cell r="C106" t="str">
            <v>Analytics as a Service</v>
          </cell>
        </row>
        <row r="107">
          <cell r="B107" t="str">
            <v>Grey Matters Concepts</v>
          </cell>
          <cell r="C107" t="str">
            <v>Analytics as a Service</v>
          </cell>
        </row>
        <row r="108">
          <cell r="B108" t="str">
            <v>GuruNanda</v>
          </cell>
          <cell r="C108" t="str">
            <v>Digital Transformation</v>
          </cell>
        </row>
        <row r="109">
          <cell r="B109" t="str">
            <v>Heckyl Technologies Private Limited</v>
          </cell>
          <cell r="C109" t="str">
            <v>Ignore for now</v>
          </cell>
        </row>
        <row r="110">
          <cell r="B110" t="str">
            <v>Hertz Chemicals Private limited</v>
          </cell>
          <cell r="C110" t="str">
            <v>Operations Transformation</v>
          </cell>
        </row>
        <row r="111">
          <cell r="B111" t="str">
            <v>Hexagon Nutrition (Exports) Pvt. Ltd</v>
          </cell>
          <cell r="C111" t="str">
            <v>Ignore for now</v>
          </cell>
        </row>
        <row r="112">
          <cell r="B112" t="str">
            <v>Hicare Services Private Limited</v>
          </cell>
          <cell r="C112" t="str">
            <v>Ignore for now</v>
          </cell>
        </row>
        <row r="113">
          <cell r="B113" t="str">
            <v>Hindustan Platinum Private Limited</v>
          </cell>
          <cell r="C113" t="str">
            <v>Ignore for now</v>
          </cell>
        </row>
        <row r="114">
          <cell r="B114" t="str">
            <v>HKR Roadways Limited</v>
          </cell>
          <cell r="C114" t="str">
            <v>Legacy projects</v>
          </cell>
        </row>
        <row r="115">
          <cell r="B115" t="str">
            <v>Human Capital for Third Sector</v>
          </cell>
          <cell r="C115" t="str">
            <v>Legacy projects</v>
          </cell>
        </row>
        <row r="116">
          <cell r="B116" t="str">
            <v>Ignore</v>
          </cell>
          <cell r="C116" t="str">
            <v>Ignore for now</v>
          </cell>
        </row>
        <row r="117">
          <cell r="B117" t="str">
            <v>IIV Health Solutions Private Limited</v>
          </cell>
          <cell r="C117" t="str">
            <v>Ignore for now</v>
          </cell>
        </row>
        <row r="118">
          <cell r="B118" t="str">
            <v>Imarticus Learning Private Limited</v>
          </cell>
          <cell r="C118" t="str">
            <v>Ignore for now</v>
          </cell>
        </row>
        <row r="119">
          <cell r="B119" t="str">
            <v>Indiana Grating Private Limited</v>
          </cell>
          <cell r="C119" t="str">
            <v>Ignore for now</v>
          </cell>
        </row>
        <row r="120">
          <cell r="B120" t="str">
            <v>Infostretch Corporation (India) Private Limited</v>
          </cell>
          <cell r="C120" t="str">
            <v>Ignore for now</v>
          </cell>
        </row>
        <row r="121">
          <cell r="B121" t="str">
            <v>Infostretch Corporation (India) Private Limited</v>
          </cell>
          <cell r="C121" t="str">
            <v>Strategic Finance Transformation</v>
          </cell>
        </row>
        <row r="122">
          <cell r="B122" t="str">
            <v>Inkodop Technologies Private Limited</v>
          </cell>
          <cell r="C122" t="str">
            <v>Ignore for now</v>
          </cell>
        </row>
        <row r="123">
          <cell r="B123" t="str">
            <v>Integrated Spaces Limited</v>
          </cell>
          <cell r="C123" t="str">
            <v>Legacy projects</v>
          </cell>
        </row>
        <row r="124">
          <cell r="B124" t="str">
            <v>Intertrustgroup BV</v>
          </cell>
          <cell r="C124" t="str">
            <v>Ignore for now</v>
          </cell>
        </row>
        <row r="125">
          <cell r="B125" t="str">
            <v>Iquanti Inc</v>
          </cell>
          <cell r="C125" t="str">
            <v>Ignore for now</v>
          </cell>
        </row>
        <row r="126">
          <cell r="B126" t="str">
            <v>iSkillBox Learning Technologies Pvt. Ltd</v>
          </cell>
          <cell r="C126" t="str">
            <v>Strategy and Growth</v>
          </cell>
        </row>
        <row r="127">
          <cell r="B127" t="str">
            <v>IVRCL Chengapalli Tollways Limited</v>
          </cell>
          <cell r="C127" t="str">
            <v>Legacy projects</v>
          </cell>
        </row>
        <row r="128">
          <cell r="B128" t="str">
            <v>JD Healthcare</v>
          </cell>
          <cell r="C128" t="str">
            <v>Strategy and Growth</v>
          </cell>
        </row>
        <row r="129">
          <cell r="B129" t="str">
            <v>Josh Software Private Limited</v>
          </cell>
          <cell r="C129" t="str">
            <v>Ignore for now</v>
          </cell>
        </row>
        <row r="130">
          <cell r="B130" t="str">
            <v>Jotna Nigeria Limited</v>
          </cell>
          <cell r="C130" t="str">
            <v>Ignore for now</v>
          </cell>
        </row>
        <row r="131">
          <cell r="B131" t="str">
            <v>Jusda India Supply Chain Management Private Limited</v>
          </cell>
          <cell r="C131" t="str">
            <v>Ignore for now</v>
          </cell>
        </row>
        <row r="132">
          <cell r="B132" t="str">
            <v>KC Patel &amp; Co</v>
          </cell>
          <cell r="C132" t="str">
            <v>Legacy projects</v>
          </cell>
        </row>
        <row r="133">
          <cell r="B133" t="str">
            <v>Keva Constructions - Advisory Support</v>
          </cell>
          <cell r="C133" t="str">
            <v>Strategy and Growth</v>
          </cell>
        </row>
        <row r="134">
          <cell r="B134" t="str">
            <v>KEVA INDUSTRIES USA LLC - CFO Services</v>
          </cell>
          <cell r="C134" t="str">
            <v>Legacy projects</v>
          </cell>
        </row>
        <row r="135">
          <cell r="B135" t="str">
            <v>Keva Group</v>
          </cell>
          <cell r="C135" t="str">
            <v>Legacy projects</v>
          </cell>
        </row>
        <row r="136">
          <cell r="B136" t="str">
            <v>KNAV Advisory Inc.</v>
          </cell>
          <cell r="C136" t="str">
            <v>Strategic Finance Transformation</v>
          </cell>
        </row>
        <row r="137">
          <cell r="B137" t="str">
            <v>Knit Gallery India Private Limited</v>
          </cell>
          <cell r="C137" t="str">
            <v>Post Merger Integration</v>
          </cell>
        </row>
        <row r="138">
          <cell r="B138" t="str">
            <v>Kobre &amp; Kim LLP US</v>
          </cell>
          <cell r="C138" t="str">
            <v>Ignore for now</v>
          </cell>
        </row>
        <row r="139">
          <cell r="B139" t="str">
            <v>Konflake Tech Private Limited</v>
          </cell>
          <cell r="C139" t="str">
            <v>Ignore for now</v>
          </cell>
        </row>
        <row r="140">
          <cell r="B140" t="str">
            <v>Krazy Kat Sportswear, LLC</v>
          </cell>
          <cell r="C140" t="str">
            <v>Ignore for now</v>
          </cell>
        </row>
        <row r="141">
          <cell r="B141" t="str">
            <v>Lagom Labs Private Limited</v>
          </cell>
          <cell r="C141" t="str">
            <v>Ignore for now</v>
          </cell>
        </row>
        <row r="142">
          <cell r="B142" t="str">
            <v>Legalogic</v>
          </cell>
          <cell r="C142" t="str">
            <v>Ignore for now</v>
          </cell>
        </row>
        <row r="143">
          <cell r="B143" t="str">
            <v>Legasis Services Private Limited</v>
          </cell>
          <cell r="C143" t="str">
            <v>Ignore for now</v>
          </cell>
        </row>
        <row r="144">
          <cell r="B144" t="str">
            <v>Lilac Insights Private Limited</v>
          </cell>
          <cell r="C144" t="str">
            <v>Legacy projects</v>
          </cell>
        </row>
        <row r="145">
          <cell r="B145" t="str">
            <v>Linxens India Private Limited</v>
          </cell>
          <cell r="C145" t="str">
            <v>Legacy projects</v>
          </cell>
        </row>
        <row r="146">
          <cell r="B146" t="str">
            <v>Logicserve Digital Private Limited</v>
          </cell>
          <cell r="C146" t="str">
            <v>Ignore for now</v>
          </cell>
        </row>
        <row r="147">
          <cell r="B147" t="str">
            <v>Lucas Indian Service Limited</v>
          </cell>
          <cell r="C147" t="str">
            <v>Ignore for now</v>
          </cell>
        </row>
        <row r="148">
          <cell r="B148" t="str">
            <v>Magnanimous Ventures Private Limited</v>
          </cell>
          <cell r="C148" t="str">
            <v>Strategic Finance Transformation</v>
          </cell>
        </row>
        <row r="149">
          <cell r="B149" t="str">
            <v>Mahindra Holidays &amp; Resorts India Limited</v>
          </cell>
          <cell r="C149" t="str">
            <v>Strategic Finance Transformation</v>
          </cell>
        </row>
        <row r="150">
          <cell r="B150" t="str">
            <v>Mahyco Private Limited</v>
          </cell>
          <cell r="C150" t="str">
            <v>Ignore for now</v>
          </cell>
        </row>
        <row r="151">
          <cell r="B151" t="str">
            <v>Mani Realty Projects Private Limited</v>
          </cell>
          <cell r="C151" t="str">
            <v>Strategy and Growth</v>
          </cell>
        </row>
        <row r="152">
          <cell r="B152" t="str">
            <v>Manlift India Private Limited</v>
          </cell>
          <cell r="C152" t="str">
            <v>Ignore for now</v>
          </cell>
        </row>
        <row r="153">
          <cell r="B153" t="str">
            <v>Mark Bianchi Inc</v>
          </cell>
          <cell r="C153" t="str">
            <v>Ignore for now</v>
          </cell>
        </row>
        <row r="154">
          <cell r="B154" t="str">
            <v xml:space="preserve">MCPL Limited </v>
          </cell>
          <cell r="C154" t="str">
            <v>Ignore for now</v>
          </cell>
        </row>
        <row r="155">
          <cell r="B155" t="str">
            <v>Medikabazaar - All projects</v>
          </cell>
          <cell r="C155" t="str">
            <v>Strategic Finance Transformation</v>
          </cell>
        </row>
        <row r="156">
          <cell r="B156" t="str">
            <v>Megha Engineering And Infrastructures Limited</v>
          </cell>
          <cell r="C156" t="str">
            <v>Strategic Finance Transformation</v>
          </cell>
        </row>
        <row r="157">
          <cell r="B157" t="str">
            <v>Micro Strategies</v>
          </cell>
          <cell r="C157" t="str">
            <v>Ignore for now</v>
          </cell>
        </row>
        <row r="158">
          <cell r="B158" t="str">
            <v>MMD Group</v>
          </cell>
          <cell r="C158" t="str">
            <v>Strategy and Growth</v>
          </cell>
        </row>
        <row r="159">
          <cell r="B159" t="str">
            <v xml:space="preserve">More Retail Private Limited </v>
          </cell>
          <cell r="C159" t="str">
            <v>Legacy projects</v>
          </cell>
        </row>
        <row r="160">
          <cell r="B160" t="str">
            <v>Naik Wealth Planners Private Limited</v>
          </cell>
          <cell r="C160" t="str">
            <v>Ignore for now</v>
          </cell>
        </row>
        <row r="161">
          <cell r="B161" t="str">
            <v>Narayana Hrudayalaya Limited</v>
          </cell>
          <cell r="C161" t="str">
            <v>Strategic Finance Transformation</v>
          </cell>
        </row>
        <row r="162">
          <cell r="B162" t="str">
            <v>NM Medical Centre - unit of N Mohanlal &amp; Co Pvt Ltd</v>
          </cell>
          <cell r="C162" t="str">
            <v>Ignore for now</v>
          </cell>
        </row>
        <row r="163">
          <cell r="B163" t="str">
            <v xml:space="preserve">NMK Textiles Private Limited </v>
          </cell>
          <cell r="C163" t="str">
            <v>Ignore for now</v>
          </cell>
        </row>
        <row r="164">
          <cell r="B164" t="str">
            <v>NorthLadder Trading LLC</v>
          </cell>
          <cell r="C164" t="str">
            <v>Legacy projects</v>
          </cell>
        </row>
        <row r="165">
          <cell r="B165" t="str">
            <v>Oakhill Management Inc</v>
          </cell>
          <cell r="C165" t="str">
            <v>Ignore for now</v>
          </cell>
        </row>
        <row r="166">
          <cell r="B166" t="str">
            <v>Omega Kemix</v>
          </cell>
          <cell r="C166" t="str">
            <v>Ignore for now</v>
          </cell>
        </row>
        <row r="167">
          <cell r="B167" t="str">
            <v>Omprakash Packaging Private Limited</v>
          </cell>
          <cell r="C167" t="str">
            <v>Ignore for now</v>
          </cell>
        </row>
        <row r="168">
          <cell r="B168" t="str">
            <v>One Space Development Management LLP</v>
          </cell>
          <cell r="C168" t="str">
            <v>Ignore for now</v>
          </cell>
        </row>
        <row r="169">
          <cell r="B169" t="str">
            <v>Outleap Technologies Private Limited</v>
          </cell>
          <cell r="C169" t="str">
            <v>Digital Transformation</v>
          </cell>
        </row>
        <row r="170">
          <cell r="B170" t="str">
            <v>Paawak Foods</v>
          </cell>
          <cell r="C170" t="str">
            <v>Ignore for now</v>
          </cell>
        </row>
        <row r="171">
          <cell r="B171" t="str">
            <v>Padam International</v>
          </cell>
          <cell r="C171" t="str">
            <v>Ignore for now</v>
          </cell>
        </row>
        <row r="172">
          <cell r="B172" t="str">
            <v>Pakka Limited</v>
          </cell>
          <cell r="C172" t="str">
            <v>Ignore for now</v>
          </cell>
        </row>
        <row r="173">
          <cell r="B173" t="str">
            <v>Param Renewable Energy Private Limited</v>
          </cell>
          <cell r="C173" t="str">
            <v>Ignore for now</v>
          </cell>
        </row>
        <row r="174">
          <cell r="B174" t="str">
            <v>Paramatrix Technologies Limited</v>
          </cell>
          <cell r="C174" t="str">
            <v>Strategic Finance Transformation</v>
          </cell>
        </row>
        <row r="175">
          <cell r="B175" t="str">
            <v>Parkhill Energy Group Inc</v>
          </cell>
          <cell r="C175" t="str">
            <v>Ignore for now</v>
          </cell>
        </row>
        <row r="176">
          <cell r="B176" t="str">
            <v>Peoplelan LLP</v>
          </cell>
          <cell r="C176" t="str">
            <v>Ignore for now</v>
          </cell>
        </row>
        <row r="177">
          <cell r="B177" t="str">
            <v>Petro IT</v>
          </cell>
          <cell r="C177" t="str">
            <v>Legacy projects</v>
          </cell>
        </row>
        <row r="178">
          <cell r="B178" t="str">
            <v>PGP Glass Private Limited</v>
          </cell>
          <cell r="C178" t="str">
            <v>Ignore for now</v>
          </cell>
        </row>
        <row r="179">
          <cell r="B179" t="str">
            <v>Pidiite Group</v>
          </cell>
          <cell r="C179" t="str">
            <v>Legacy projects</v>
          </cell>
        </row>
        <row r="180">
          <cell r="B180" t="str">
            <v>Piramal Critical Care - Diagnostic Mandate</v>
          </cell>
          <cell r="C180" t="str">
            <v>Strategic Finance Transformation</v>
          </cell>
        </row>
        <row r="181">
          <cell r="B181" t="str">
            <v>Piramal Group</v>
          </cell>
          <cell r="C181" t="str">
            <v>Legacy projects</v>
          </cell>
        </row>
        <row r="182">
          <cell r="B182" t="str">
            <v>Piramal Group</v>
          </cell>
          <cell r="C182" t="str">
            <v>Legacy projects</v>
          </cell>
        </row>
        <row r="183">
          <cell r="B183" t="str">
            <v>Pluto Seven Business Solutions Private Limited</v>
          </cell>
          <cell r="C183" t="str">
            <v>Legacy projects</v>
          </cell>
        </row>
        <row r="184">
          <cell r="B184" t="str">
            <v>PMJ Jewels - Analytics</v>
          </cell>
          <cell r="C184" t="str">
            <v>Analytics as a Service</v>
          </cell>
        </row>
        <row r="185">
          <cell r="B185" t="str">
            <v xml:space="preserve">Prachetas </v>
          </cell>
          <cell r="C185" t="str">
            <v>Ignore for now</v>
          </cell>
        </row>
        <row r="186">
          <cell r="B186" t="str">
            <v>Prepbytes Technologies Private Limited</v>
          </cell>
          <cell r="C186" t="str">
            <v>Ignore for now</v>
          </cell>
        </row>
        <row r="187">
          <cell r="B187" t="str">
            <v>Prescinto Technologies Private Limited</v>
          </cell>
          <cell r="C187" t="str">
            <v>Ignore for now</v>
          </cell>
        </row>
        <row r="188">
          <cell r="B188" t="str">
            <v>Printo Document Services Private Limited</v>
          </cell>
          <cell r="C188" t="str">
            <v>Ignore for now</v>
          </cell>
        </row>
        <row r="189">
          <cell r="B189" t="str">
            <v>Proactive Consultants Private Limited</v>
          </cell>
          <cell r="C189" t="str">
            <v>Ignore for now</v>
          </cell>
        </row>
        <row r="190">
          <cell r="B190" t="str">
            <v>Project Naples</v>
          </cell>
          <cell r="C190" t="str">
            <v>Ignore for now</v>
          </cell>
        </row>
        <row r="191">
          <cell r="B191" t="str">
            <v>Prudent Insurance Brokers Pvt. Ltd</v>
          </cell>
          <cell r="C191" t="str">
            <v>Ignore for now</v>
          </cell>
        </row>
        <row r="192">
          <cell r="B192" t="str">
            <v>Purandar Fine Chemicals Private Limited</v>
          </cell>
          <cell r="C192" t="str">
            <v>Ignore for now</v>
          </cell>
        </row>
        <row r="193">
          <cell r="B193" t="str">
            <v>Qodenext India Private Limited</v>
          </cell>
          <cell r="C193" t="str">
            <v>Legacy projects</v>
          </cell>
        </row>
        <row r="194">
          <cell r="B194" t="str">
            <v>Qure.ai Technologies Private Limited</v>
          </cell>
          <cell r="C194" t="str">
            <v>Ignore for now</v>
          </cell>
        </row>
        <row r="195">
          <cell r="B195" t="str">
            <v>Racing Promotions Private Limited</v>
          </cell>
          <cell r="C195" t="str">
            <v>Ignore for now</v>
          </cell>
        </row>
        <row r="196">
          <cell r="B196" t="str">
            <v>Radiance Renewables Private Limited</v>
          </cell>
          <cell r="C196" t="str">
            <v>Ignore for now</v>
          </cell>
        </row>
        <row r="197">
          <cell r="B197" t="str">
            <v>Raychem RPG</v>
          </cell>
          <cell r="C197" t="str">
            <v>Ignore for now</v>
          </cell>
        </row>
        <row r="198">
          <cell r="B198" t="str">
            <v>RayIOT Solutions Inc</v>
          </cell>
          <cell r="C198" t="str">
            <v>Ignore for now</v>
          </cell>
        </row>
        <row r="199">
          <cell r="B199" t="str">
            <v>Recur Club - Printo Ref</v>
          </cell>
          <cell r="C199" t="str">
            <v>Ignore for now</v>
          </cell>
        </row>
        <row r="200">
          <cell r="B200" t="str">
            <v>Repos Energy India Private Limited</v>
          </cell>
          <cell r="C200" t="str">
            <v>Ignore for now</v>
          </cell>
        </row>
        <row r="201">
          <cell r="B201" t="str">
            <v>Resilia Pharmaceuticals</v>
          </cell>
          <cell r="C201" t="str">
            <v>Ignore for now</v>
          </cell>
        </row>
        <row r="202">
          <cell r="B202" t="str">
            <v>Rightskale</v>
          </cell>
          <cell r="C202" t="str">
            <v>Ignore for now</v>
          </cell>
        </row>
        <row r="203">
          <cell r="B203" t="str">
            <v>Rimedo Advisory Pvt Ltd</v>
          </cell>
          <cell r="C203" t="str">
            <v>Legacy projects</v>
          </cell>
        </row>
        <row r="204">
          <cell r="B204" t="str">
            <v xml:space="preserve">Riskpro India Private Limited </v>
          </cell>
          <cell r="C204" t="str">
            <v>Ignore for now</v>
          </cell>
        </row>
        <row r="205">
          <cell r="B205" t="str">
            <v>Rotam Agrochemical Company Pvt. Ltd.</v>
          </cell>
          <cell r="C205" t="str">
            <v>Ignore for now</v>
          </cell>
        </row>
        <row r="206">
          <cell r="B206" t="str">
            <v>Royal Western India Turf Club Limited</v>
          </cell>
          <cell r="C206" t="str">
            <v>Ignore for now</v>
          </cell>
        </row>
        <row r="207">
          <cell r="B207" t="str">
            <v>RSB Group</v>
          </cell>
          <cell r="C207" t="str">
            <v>Ignore for now</v>
          </cell>
        </row>
        <row r="208">
          <cell r="B208" t="str">
            <v>RSB Zoho Referral Fee</v>
          </cell>
          <cell r="C208" t="str">
            <v>Ignore for now</v>
          </cell>
        </row>
        <row r="209">
          <cell r="B209" t="str">
            <v>Samrat Irons Private Limited</v>
          </cell>
          <cell r="C209" t="str">
            <v>Strategy and Growth</v>
          </cell>
        </row>
        <row r="210">
          <cell r="B210" t="str">
            <v>Sanctum Wealth Private Limited</v>
          </cell>
          <cell r="C210" t="str">
            <v>Legacy projects</v>
          </cell>
        </row>
        <row r="211">
          <cell r="B211" t="str">
            <v>Santa Bella</v>
          </cell>
          <cell r="C211" t="str">
            <v>Legacy projects</v>
          </cell>
        </row>
        <row r="212">
          <cell r="B212" t="str">
            <v>SBIcap Ventures Limited</v>
          </cell>
          <cell r="C212" t="str">
            <v>Ignore for now</v>
          </cell>
        </row>
        <row r="213">
          <cell r="B213" t="str">
            <v>Scalene Works People Solution LLP</v>
          </cell>
          <cell r="C213" t="str">
            <v>Ignore for now</v>
          </cell>
        </row>
        <row r="214">
          <cell r="B214" t="str">
            <v>Sedemac Mechatronics Private Limited</v>
          </cell>
          <cell r="C214" t="str">
            <v>Ignore for now</v>
          </cell>
        </row>
        <row r="215">
          <cell r="B215" t="str">
            <v>Sequent Scientific Limited</v>
          </cell>
          <cell r="C215" t="str">
            <v>Ignore for now</v>
          </cell>
        </row>
        <row r="216">
          <cell r="B216" t="str">
            <v>Shemaroo Entertainment Limited</v>
          </cell>
          <cell r="C216" t="str">
            <v>Digital Transformation</v>
          </cell>
        </row>
        <row r="217">
          <cell r="B217" t="str">
            <v>Shemaroo Entertainment Limited</v>
          </cell>
          <cell r="C217" t="str">
            <v>Digital Transformation</v>
          </cell>
        </row>
        <row r="218">
          <cell r="B218" t="str">
            <v>Shore Auto Rubber Exports Private Limited</v>
          </cell>
          <cell r="C218" t="str">
            <v>Legacy projects</v>
          </cell>
        </row>
        <row r="219">
          <cell r="B219" t="str">
            <v>Shreeton Textiles Contracts Private Limited</v>
          </cell>
          <cell r="C219" t="str">
            <v>Legacy projects</v>
          </cell>
        </row>
        <row r="220">
          <cell r="B220" t="str">
            <v>Simplilearn Solutions Private Limited</v>
          </cell>
          <cell r="C220" t="str">
            <v>Legacy projects</v>
          </cell>
        </row>
        <row r="221">
          <cell r="B221" t="str">
            <v>SiriusAI, Inc.</v>
          </cell>
          <cell r="C221" t="str">
            <v>Legacy projects</v>
          </cell>
        </row>
        <row r="222">
          <cell r="B222" t="str">
            <v>Sleek International Private Limited</v>
          </cell>
          <cell r="C222" t="str">
            <v>Ignore for now</v>
          </cell>
        </row>
        <row r="223">
          <cell r="B223" t="str">
            <v>Soft Corner</v>
          </cell>
          <cell r="C223" t="str">
            <v>Strategic Finance Transformation</v>
          </cell>
        </row>
        <row r="224">
          <cell r="B224" t="str">
            <v>Softgel Healthcare Pvt Ltd</v>
          </cell>
          <cell r="C224" t="str">
            <v>Ignore for now</v>
          </cell>
        </row>
        <row r="225">
          <cell r="B225" t="str">
            <v>Solarsquare Energy Private Limited</v>
          </cell>
          <cell r="C225" t="str">
            <v>Ignore for now</v>
          </cell>
        </row>
        <row r="226">
          <cell r="B226" t="str">
            <v>Solomon and Co</v>
          </cell>
          <cell r="C226" t="str">
            <v>Legacy projects</v>
          </cell>
        </row>
        <row r="227">
          <cell r="B227" t="str">
            <v>Solvy Tech Solutions Private limited</v>
          </cell>
          <cell r="C227" t="str">
            <v>Strategic Finance Transformation</v>
          </cell>
        </row>
        <row r="228">
          <cell r="B228" t="str">
            <v>South Indian Education Society</v>
          </cell>
          <cell r="C228" t="str">
            <v>Ignore for now</v>
          </cell>
        </row>
        <row r="229">
          <cell r="B229" t="str">
            <v>Sovereign Pharma Private Limited</v>
          </cell>
          <cell r="C229" t="str">
            <v>Legacy projects</v>
          </cell>
        </row>
        <row r="230">
          <cell r="B230" t="str">
            <v>Spice Money Limited</v>
          </cell>
          <cell r="C230" t="str">
            <v>Ignore for now</v>
          </cell>
        </row>
        <row r="231">
          <cell r="B231" t="str">
            <v>Standav Corp</v>
          </cell>
          <cell r="C231" t="str">
            <v>Ignore for now</v>
          </cell>
        </row>
        <row r="232">
          <cell r="B232" t="str">
            <v>Star Engineers india pvt ltd</v>
          </cell>
          <cell r="C232" t="str">
            <v>Analytics as a Service</v>
          </cell>
        </row>
        <row r="233">
          <cell r="B233" t="str">
            <v>Suminter India Organics Private Limited</v>
          </cell>
          <cell r="C233" t="str">
            <v>Ignore for now</v>
          </cell>
        </row>
        <row r="234">
          <cell r="B234" t="str">
            <v>Sunrise Pharma</v>
          </cell>
          <cell r="C234" t="str">
            <v>Legacy projects</v>
          </cell>
        </row>
        <row r="235">
          <cell r="B235" t="str">
            <v>Supreme Universal Pvt. Ltd.</v>
          </cell>
          <cell r="C235" t="str">
            <v>Ignore for now</v>
          </cell>
        </row>
        <row r="236">
          <cell r="B236" t="str">
            <v>Swift Prepaid Solutions Inc.</v>
          </cell>
          <cell r="C236" t="str">
            <v>Legacy projects</v>
          </cell>
        </row>
        <row r="237">
          <cell r="B237" t="str">
            <v>Swiss Beauty Cosmetics Private Limited</v>
          </cell>
          <cell r="C237" t="str">
            <v>Ignore for now</v>
          </cell>
        </row>
        <row r="238">
          <cell r="B238" t="str">
            <v>Symbo India Insurance Broking Pvt Ltd</v>
          </cell>
          <cell r="C238" t="str">
            <v>Legacy projects</v>
          </cell>
        </row>
        <row r="239">
          <cell r="B239" t="str">
            <v>Tata International Ltd</v>
          </cell>
          <cell r="C239" t="str">
            <v>Legacy projects</v>
          </cell>
        </row>
        <row r="240">
          <cell r="B240" t="str">
            <v>TATA Teleservices (Maharashtra) Limited</v>
          </cell>
          <cell r="C240" t="str">
            <v>Ignore for now</v>
          </cell>
        </row>
        <row r="241">
          <cell r="B241" t="str">
            <v>Tdfs3 Digitalfifth Private Limited</v>
          </cell>
          <cell r="C241" t="str">
            <v>Ignore for now</v>
          </cell>
        </row>
        <row r="242">
          <cell r="B242" t="str">
            <v>Theobroma Foods Private Limited</v>
          </cell>
          <cell r="C242" t="str">
            <v>Ignore for now</v>
          </cell>
        </row>
        <row r="243">
          <cell r="B243" t="str">
            <v>Third Quotient IT Consultancy LLP</v>
          </cell>
          <cell r="C243" t="str">
            <v>Ignore for now</v>
          </cell>
        </row>
        <row r="244">
          <cell r="B244" t="str">
            <v>Times Edutech and Events Limited</v>
          </cell>
          <cell r="C244" t="str">
            <v>Ignore for now</v>
          </cell>
        </row>
        <row r="245">
          <cell r="B245" t="str">
            <v>Trent Limited</v>
          </cell>
          <cell r="C245" t="str">
            <v>Operations Transformation</v>
          </cell>
        </row>
        <row r="246">
          <cell r="B246" t="str">
            <v>Tufropes Private Limited</v>
          </cell>
          <cell r="C246" t="str">
            <v>Legacy projects</v>
          </cell>
        </row>
        <row r="247">
          <cell r="B247" t="str">
            <v>Tulio Textile Manufacturing CFO</v>
          </cell>
          <cell r="C247" t="str">
            <v>Legacy projects</v>
          </cell>
        </row>
        <row r="248">
          <cell r="B248" t="str">
            <v>UIB Holdings Pte. Ltd</v>
          </cell>
          <cell r="C248" t="str">
            <v>Ignore for now</v>
          </cell>
        </row>
        <row r="249">
          <cell r="B249" t="str">
            <v>Ultra Corpotech Pvt. Ltd</v>
          </cell>
          <cell r="C249" t="str">
            <v>Ignore for now</v>
          </cell>
        </row>
        <row r="250">
          <cell r="B250" t="str">
            <v>Ultrahuman Healthcare Private Limited</v>
          </cell>
          <cell r="C250" t="str">
            <v>Ignore for now</v>
          </cell>
        </row>
        <row r="251">
          <cell r="B251" t="str">
            <v>Ultrahuman Healthcare Private Limited</v>
          </cell>
          <cell r="C251" t="str">
            <v>Legacy projects</v>
          </cell>
        </row>
        <row r="252">
          <cell r="B252" t="str">
            <v>Ultramarine &amp; Pigments Ltd</v>
          </cell>
          <cell r="C252" t="str">
            <v>Ignore for now</v>
          </cell>
        </row>
        <row r="253">
          <cell r="B253" t="str">
            <v>Upgrad Education Private limited</v>
          </cell>
          <cell r="C253" t="str">
            <v>Strategic Finance Transformation</v>
          </cell>
        </row>
        <row r="254">
          <cell r="B254" t="str">
            <v>Vardaraj Cement</v>
          </cell>
          <cell r="C254" t="str">
            <v>Ignore for now</v>
          </cell>
        </row>
        <row r="255">
          <cell r="B255" t="str">
            <v>Vertoz Limited</v>
          </cell>
          <cell r="C255" t="str">
            <v>Post Merger Integration</v>
          </cell>
        </row>
        <row r="256">
          <cell r="B256" t="str">
            <v>Vertoz Limited</v>
          </cell>
          <cell r="C256" t="str">
            <v>Strategic Finance Transformation</v>
          </cell>
        </row>
        <row r="257">
          <cell r="B257" t="str">
            <v>Anian Interiors Private Limited</v>
          </cell>
          <cell r="C257" t="str">
            <v>Strategy and Growth</v>
          </cell>
        </row>
        <row r="258">
          <cell r="B258" t="str">
            <v>VF Worldwide Holdings Limited</v>
          </cell>
          <cell r="C258" t="str">
            <v>Ignore for now</v>
          </cell>
        </row>
        <row r="259">
          <cell r="B259" t="str">
            <v>Vgyaan Pharmaceuticals</v>
          </cell>
          <cell r="C259" t="str">
            <v>Legacy projects</v>
          </cell>
        </row>
        <row r="260">
          <cell r="B260" t="str">
            <v>VIR Ventures Inc</v>
          </cell>
          <cell r="C260" t="str">
            <v>Legacy projects</v>
          </cell>
        </row>
        <row r="261">
          <cell r="B261" t="str">
            <v>Visceral Technology Private Limited</v>
          </cell>
          <cell r="C261" t="str">
            <v>Ignore for now</v>
          </cell>
        </row>
        <row r="262">
          <cell r="B262" t="str">
            <v>Viyash Life Sciences Private Limited</v>
          </cell>
          <cell r="C262" t="str">
            <v>Ignore for now</v>
          </cell>
        </row>
        <row r="263">
          <cell r="B263" t="str">
            <v>Walter Merkas</v>
          </cell>
          <cell r="C263" t="str">
            <v>Ignore for now</v>
          </cell>
        </row>
        <row r="264">
          <cell r="B264" t="str">
            <v>Waste Warriors Society</v>
          </cell>
          <cell r="C264" t="str">
            <v>Ignore for now</v>
          </cell>
        </row>
        <row r="265">
          <cell r="B265" t="str">
            <v>Welspun Group</v>
          </cell>
          <cell r="C265" t="str">
            <v>Ignore for now</v>
          </cell>
        </row>
        <row r="266">
          <cell r="B266" t="str">
            <v>Whistledrive Private Limited</v>
          </cell>
          <cell r="C266" t="str">
            <v>Ignore for now</v>
          </cell>
        </row>
        <row r="267">
          <cell r="B267" t="str">
            <v>WithumSmith+Brown, P.C.</v>
          </cell>
          <cell r="C267" t="str">
            <v>Legacy projects</v>
          </cell>
        </row>
        <row r="268">
          <cell r="B268" t="str">
            <v>Woodward Pharma Services LLC_x000D_</v>
          </cell>
          <cell r="C268" t="str">
            <v>Strategic Finance Transformation</v>
          </cell>
        </row>
        <row r="269">
          <cell r="B269" t="str">
            <v>World of Stones Private Limited</v>
          </cell>
          <cell r="C269" t="str">
            <v>Strategy and Growth</v>
          </cell>
        </row>
        <row r="270">
          <cell r="B270" t="str">
            <v>Worldwide Initiatives for Grantmaker Support</v>
          </cell>
          <cell r="C270" t="str">
            <v>Ignore for now</v>
          </cell>
        </row>
        <row r="271">
          <cell r="B271" t="str">
            <v>Yantra Tech Innovation Lab Pvt Ltd</v>
          </cell>
          <cell r="C271" t="str">
            <v>Ignore for now</v>
          </cell>
        </row>
        <row r="272">
          <cell r="B272" t="str">
            <v>ZADN &amp; Associates</v>
          </cell>
          <cell r="C272" t="str">
            <v>Ignore for now</v>
          </cell>
        </row>
        <row r="273">
          <cell r="B273" t="str">
            <v>Zensoft Services Private Limited</v>
          </cell>
          <cell r="C273" t="str">
            <v>Legacy projects</v>
          </cell>
        </row>
        <row r="274">
          <cell r="B274" t="str">
            <v>IGI US FTO</v>
          </cell>
          <cell r="C274" t="str">
            <v>Strategic Finance Transformation</v>
          </cell>
        </row>
        <row r="275">
          <cell r="B275" t="str">
            <v>Perplexity AI FP&amp;A</v>
          </cell>
          <cell r="C275" t="str">
            <v>Strategic Finance Transformation</v>
          </cell>
        </row>
        <row r="276">
          <cell r="B276" t="str">
            <v>Medikabazaar - All projects</v>
          </cell>
          <cell r="C276" t="str">
            <v>Operations Transformation</v>
          </cell>
        </row>
        <row r="277">
          <cell r="B277" t="str">
            <v>Medikabazaar - All projects</v>
          </cell>
          <cell r="C277" t="str">
            <v>Strategic Finance Transformation</v>
          </cell>
        </row>
        <row r="278">
          <cell r="B278" t="str">
            <v>Piramal Group</v>
          </cell>
          <cell r="C278" t="str">
            <v>Legacy projects</v>
          </cell>
        </row>
        <row r="279">
          <cell r="B279" t="str">
            <v>Ekatra</v>
          </cell>
          <cell r="C279" t="str">
            <v>Strategic Finance Transformation</v>
          </cell>
        </row>
        <row r="280">
          <cell r="B280" t="str">
            <v>Milteny Biotech</v>
          </cell>
          <cell r="C280" t="str">
            <v>Strategic Finance Transformation</v>
          </cell>
        </row>
        <row r="281">
          <cell r="B281" t="str">
            <v>Gharda Chemicals Limited</v>
          </cell>
          <cell r="C281" t="str">
            <v>Strategic Finance Transformation</v>
          </cell>
        </row>
        <row r="282">
          <cell r="B282" t="str">
            <v>Wealthfirst</v>
          </cell>
          <cell r="C282" t="str">
            <v>Strategy and Growth</v>
          </cell>
        </row>
        <row r="283">
          <cell r="B283" t="str">
            <v>Akums</v>
          </cell>
          <cell r="C283" t="str">
            <v>Strategic Finance Transformation</v>
          </cell>
        </row>
        <row r="284">
          <cell r="B284" t="str">
            <v>Piramal Critical Care - Diagnostic Mandate</v>
          </cell>
          <cell r="C284" t="str">
            <v>Strategic Finance Transformation</v>
          </cell>
        </row>
        <row r="285">
          <cell r="B285" t="str">
            <v>MMD Group</v>
          </cell>
          <cell r="C285" t="str">
            <v>Strategy and Growth</v>
          </cell>
        </row>
        <row r="286">
          <cell r="B286" t="str">
            <v>Piramal Group</v>
          </cell>
          <cell r="C286" t="str">
            <v>Legacy projects</v>
          </cell>
        </row>
        <row r="287">
          <cell r="B287" t="str">
            <v>Profile Pharma</v>
          </cell>
          <cell r="C287" t="str">
            <v>Strategic Finance Transformation</v>
          </cell>
        </row>
        <row r="288">
          <cell r="B288" t="str">
            <v>Quadlabs</v>
          </cell>
          <cell r="C288" t="str">
            <v>Strategy and Growth</v>
          </cell>
        </row>
        <row r="289">
          <cell r="B289" t="str">
            <v>Tata International Ltd</v>
          </cell>
          <cell r="C289" t="str">
            <v>Legacy projects</v>
          </cell>
        </row>
        <row r="290">
          <cell r="B290" t="str">
            <v>Supriya Sehgal</v>
          </cell>
          <cell r="C290" t="str">
            <v>Post Merger Integration</v>
          </cell>
        </row>
        <row r="291">
          <cell r="B291" t="str">
            <v>Masters Union</v>
          </cell>
          <cell r="C291" t="str">
            <v>Legacy projects</v>
          </cell>
        </row>
        <row r="292">
          <cell r="B292" t="str">
            <v>Keystone</v>
          </cell>
          <cell r="C292" t="str">
            <v>Post Merger Integration</v>
          </cell>
        </row>
        <row r="293">
          <cell r="B293" t="str">
            <v>Display Data</v>
          </cell>
          <cell r="C293" t="str">
            <v>Strategic Finance Transformation</v>
          </cell>
        </row>
        <row r="294">
          <cell r="B294" t="str">
            <v>Animoca</v>
          </cell>
          <cell r="C294" t="str">
            <v>Post Merger Integration</v>
          </cell>
        </row>
        <row r="295">
          <cell r="B295" t="str">
            <v>Division10</v>
          </cell>
          <cell r="C295" t="str">
            <v>Strategic Finance Transformation</v>
          </cell>
        </row>
        <row r="296">
          <cell r="B296" t="str">
            <v>Neo Wealth Management</v>
          </cell>
          <cell r="C296" t="str">
            <v>Strategic Finance Transformation</v>
          </cell>
        </row>
        <row r="297">
          <cell r="B297" t="str">
            <v>Lhasa OMS</v>
          </cell>
          <cell r="C297" t="str">
            <v>Legacy projects</v>
          </cell>
        </row>
        <row r="298">
          <cell r="B298" t="str">
            <v>Aroa ventures</v>
          </cell>
          <cell r="C298" t="str">
            <v>Strategic Finance Transformation</v>
          </cell>
        </row>
        <row r="299">
          <cell r="B299" t="str">
            <v>Display Data</v>
          </cell>
          <cell r="C299" t="str">
            <v>Legacy projects</v>
          </cell>
        </row>
        <row r="300">
          <cell r="B300" t="str">
            <v>Sovereign Pharma Private Limited</v>
          </cell>
          <cell r="C300" t="str">
            <v>Strategic Finance Transformation</v>
          </cell>
        </row>
        <row r="301">
          <cell r="B301" t="str">
            <v>Hertz Chemicals Private limited</v>
          </cell>
          <cell r="C301" t="str">
            <v>Operations Transformation</v>
          </cell>
        </row>
        <row r="302">
          <cell r="B302" t="str">
            <v>Piramal Group</v>
          </cell>
          <cell r="C302" t="str">
            <v>Strategic Finance Transformation</v>
          </cell>
        </row>
        <row r="303">
          <cell r="B303" t="str">
            <v>Shoft shipyard</v>
          </cell>
          <cell r="C303" t="str">
            <v>Strategic Finance Transformation</v>
          </cell>
        </row>
        <row r="304">
          <cell r="B304" t="str">
            <v>Infokort Emami</v>
          </cell>
          <cell r="C304" t="str">
            <v>Strategic Finance Transformation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AA5B-142D-4EB6-9696-25137561DA39}">
  <sheetPr filterMode="1"/>
  <dimension ref="A1:D270"/>
  <sheetViews>
    <sheetView tabSelected="1" topLeftCell="A52" zoomScale="104" zoomScaleNormal="120" workbookViewId="0">
      <selection activeCell="C273" sqref="C273"/>
    </sheetView>
  </sheetViews>
  <sheetFormatPr defaultRowHeight="14.45"/>
  <cols>
    <col min="1" max="1" width="48.85546875" bestFit="1" customWidth="1"/>
    <col min="2" max="2" width="27.85546875" bestFit="1" customWidth="1"/>
    <col min="3" max="3" width="18.42578125" bestFit="1" customWidth="1"/>
    <col min="4" max="4" width="27.85546875" bestFit="1" customWidth="1"/>
  </cols>
  <sheetData>
    <row r="1" spans="1:4">
      <c r="A1" s="21" t="s">
        <v>0</v>
      </c>
      <c r="B1" s="21" t="s">
        <v>1</v>
      </c>
      <c r="C1" s="21" t="s">
        <v>2</v>
      </c>
      <c r="D1" s="21" t="s">
        <v>3</v>
      </c>
    </row>
    <row r="2" spans="1:4" hidden="1">
      <c r="A2" s="20" t="s">
        <v>4</v>
      </c>
      <c r="B2" s="20" t="s">
        <v>5</v>
      </c>
      <c r="C2" s="20" t="s">
        <v>6</v>
      </c>
      <c r="D2" s="20" t="str">
        <f>_xlfn.XLOOKUP(A2,'[1]By Project'!$B:$B,'[1]By Project'!$C:$C,0)</f>
        <v>Legacy projects</v>
      </c>
    </row>
    <row r="3" spans="1:4" hidden="1">
      <c r="A3" s="20" t="s">
        <v>7</v>
      </c>
      <c r="B3" s="20" t="s">
        <v>8</v>
      </c>
      <c r="C3" s="20" t="s">
        <v>8</v>
      </c>
      <c r="D3" s="20" t="str">
        <f>_xlfn.XLOOKUP(A3,'[1]By Project'!$B:$B,'[1]By Project'!$C:$C,0)</f>
        <v>Legacy projects</v>
      </c>
    </row>
    <row r="4" spans="1:4" hidden="1">
      <c r="A4" s="20" t="s">
        <v>9</v>
      </c>
      <c r="B4" s="20" t="s">
        <v>5</v>
      </c>
      <c r="C4" s="20" t="s">
        <v>10</v>
      </c>
      <c r="D4" s="20" t="str">
        <f>_xlfn.XLOOKUP(A4,'[1]By Project'!$B:$B,'[1]By Project'!$C:$C,0)</f>
        <v>Ignore for now</v>
      </c>
    </row>
    <row r="5" spans="1:4">
      <c r="A5" s="20" t="s">
        <v>11</v>
      </c>
      <c r="B5" s="20" t="s">
        <v>12</v>
      </c>
      <c r="C5" s="20" t="s">
        <v>13</v>
      </c>
      <c r="D5" s="20" t="str">
        <f>_xlfn.XLOOKUP(A5,'[1]By Project'!$B:$B,'[1]By Project'!$C:$C,0)</f>
        <v>Ignore for now</v>
      </c>
    </row>
    <row r="6" spans="1:4">
      <c r="A6" s="20" t="s">
        <v>14</v>
      </c>
      <c r="B6" s="20" t="s">
        <v>15</v>
      </c>
      <c r="C6" s="20" t="s">
        <v>13</v>
      </c>
      <c r="D6" s="20" t="str">
        <f>_xlfn.XLOOKUP(A6,'[1]By Project'!$B:$B,'[1]By Project'!$C:$C,0)</f>
        <v>Ignore for now</v>
      </c>
    </row>
    <row r="7" spans="1:4">
      <c r="A7" s="20" t="s">
        <v>16</v>
      </c>
      <c r="B7" s="20" t="s">
        <v>5</v>
      </c>
      <c r="C7" s="20" t="s">
        <v>13</v>
      </c>
      <c r="D7" s="20" t="str">
        <f>_xlfn.XLOOKUP(A7,'[1]By Project'!$B:$B,'[1]By Project'!$C:$C,0)</f>
        <v>Legacy projects</v>
      </c>
    </row>
    <row r="8" spans="1:4" hidden="1">
      <c r="A8" s="20" t="s">
        <v>17</v>
      </c>
      <c r="B8" s="20" t="s">
        <v>18</v>
      </c>
      <c r="C8" s="20" t="s">
        <v>19</v>
      </c>
      <c r="D8" s="20" t="str">
        <f>_xlfn.XLOOKUP(A8,'[1]By Project'!$B:$B,'[1]By Project'!$C:$C,0)</f>
        <v>Legacy projects</v>
      </c>
    </row>
    <row r="9" spans="1:4">
      <c r="A9" s="20" t="s">
        <v>20</v>
      </c>
      <c r="B9" s="20" t="s">
        <v>21</v>
      </c>
      <c r="C9" s="20" t="s">
        <v>13</v>
      </c>
      <c r="D9" s="20" t="str">
        <f>_xlfn.XLOOKUP(A9,'[1]By Project'!$B:$B,'[1]By Project'!$C:$C,0)</f>
        <v>Ignore for now</v>
      </c>
    </row>
    <row r="10" spans="1:4" hidden="1">
      <c r="A10" s="20" t="s">
        <v>22</v>
      </c>
      <c r="B10" s="20" t="s">
        <v>15</v>
      </c>
      <c r="C10" s="20" t="s">
        <v>23</v>
      </c>
      <c r="D10" s="20" t="str">
        <f>_xlfn.XLOOKUP(A10,'[1]By Project'!$B:$B,'[1]By Project'!$C:$C,0)</f>
        <v>Ignore for now</v>
      </c>
    </row>
    <row r="11" spans="1:4" hidden="1">
      <c r="A11" s="20" t="s">
        <v>24</v>
      </c>
      <c r="B11" s="20" t="s">
        <v>25</v>
      </c>
      <c r="C11" s="20" t="s">
        <v>10</v>
      </c>
      <c r="D11" s="20" t="str">
        <f>_xlfn.XLOOKUP(A11,'[1]By Project'!$B:$B,'[1]By Project'!$C:$C,0)</f>
        <v>Legacy projects</v>
      </c>
    </row>
    <row r="12" spans="1:4" hidden="1">
      <c r="A12" s="20" t="s">
        <v>26</v>
      </c>
      <c r="B12" s="20" t="s">
        <v>27</v>
      </c>
      <c r="C12" s="20" t="s">
        <v>6</v>
      </c>
      <c r="D12" s="20" t="str">
        <f>_xlfn.XLOOKUP(A12,'[1]By Project'!$B:$B,'[1]By Project'!$C:$C,0)</f>
        <v>Ignore for now</v>
      </c>
    </row>
    <row r="13" spans="1:4" hidden="1">
      <c r="A13" s="20" t="s">
        <v>28</v>
      </c>
      <c r="B13" s="20" t="s">
        <v>8</v>
      </c>
      <c r="C13" s="20" t="s">
        <v>23</v>
      </c>
      <c r="D13" s="20" t="str">
        <f>_xlfn.XLOOKUP(A13,'[1]By Project'!$B:$B,'[1]By Project'!$C:$C,0)</f>
        <v>Legacy projects</v>
      </c>
    </row>
    <row r="14" spans="1:4">
      <c r="A14" s="20" t="s">
        <v>29</v>
      </c>
      <c r="B14" s="20" t="s">
        <v>8</v>
      </c>
      <c r="C14" s="20" t="s">
        <v>13</v>
      </c>
      <c r="D14" s="20" t="str">
        <f>_xlfn.XLOOKUP(A14,'[1]By Project'!$B:$B,'[1]By Project'!$C:$C,0)</f>
        <v>Ignore for now</v>
      </c>
    </row>
    <row r="15" spans="1:4">
      <c r="A15" s="20" t="s">
        <v>30</v>
      </c>
      <c r="B15" s="20" t="s">
        <v>31</v>
      </c>
      <c r="C15" s="20" t="s">
        <v>13</v>
      </c>
      <c r="D15" s="20" t="str">
        <f>_xlfn.XLOOKUP(A15,'[1]By Project'!$B:$B,'[1]By Project'!$C:$C,0)</f>
        <v>Strategy and Growth</v>
      </c>
    </row>
    <row r="16" spans="1:4" hidden="1">
      <c r="A16" s="20" t="s">
        <v>32</v>
      </c>
      <c r="B16" s="20" t="s">
        <v>33</v>
      </c>
      <c r="C16" s="20" t="s">
        <v>34</v>
      </c>
      <c r="D16" s="20" t="str">
        <f>_xlfn.XLOOKUP(A16,'[1]By Project'!$B:$B,'[1]By Project'!$C:$C,0)</f>
        <v>Ignore for now</v>
      </c>
    </row>
    <row r="17" spans="1:4">
      <c r="A17" s="20" t="s">
        <v>35</v>
      </c>
      <c r="B17" s="20" t="s">
        <v>36</v>
      </c>
      <c r="C17" s="20" t="s">
        <v>13</v>
      </c>
      <c r="D17" s="20" t="str">
        <f>_xlfn.XLOOKUP(A17,'[1]By Project'!$B:$B,'[1]By Project'!$C:$C,0)</f>
        <v>Operations Transformation</v>
      </c>
    </row>
    <row r="18" spans="1:4">
      <c r="A18" s="20" t="s">
        <v>37</v>
      </c>
      <c r="B18" s="20" t="s">
        <v>5</v>
      </c>
      <c r="C18" s="20" t="s">
        <v>13</v>
      </c>
      <c r="D18" s="20" t="str">
        <f>_xlfn.XLOOKUP(A18,'[1]By Project'!$B:$B,'[1]By Project'!$C:$C,0)</f>
        <v>Ignore for now</v>
      </c>
    </row>
    <row r="19" spans="1:4">
      <c r="A19" s="20" t="s">
        <v>38</v>
      </c>
      <c r="B19" s="20" t="s">
        <v>36</v>
      </c>
      <c r="C19" s="20" t="s">
        <v>13</v>
      </c>
      <c r="D19" s="20" t="str">
        <f>_xlfn.XLOOKUP(A19,'[1]By Project'!$B:$B,'[1]By Project'!$C:$C,0)</f>
        <v>Ignore for now</v>
      </c>
    </row>
    <row r="20" spans="1:4">
      <c r="A20" s="20" t="s">
        <v>39</v>
      </c>
      <c r="B20" s="20" t="s">
        <v>15</v>
      </c>
      <c r="C20" s="20" t="s">
        <v>13</v>
      </c>
      <c r="D20" s="20" t="str">
        <f>_xlfn.XLOOKUP(A20,'[1]By Project'!$B:$B,'[1]By Project'!$C:$C,0)</f>
        <v>Strategic Finance Transformation</v>
      </c>
    </row>
    <row r="21" spans="1:4">
      <c r="A21" s="20" t="s">
        <v>40</v>
      </c>
      <c r="B21" s="20" t="s">
        <v>41</v>
      </c>
      <c r="C21" s="20" t="s">
        <v>13</v>
      </c>
      <c r="D21" s="20" t="str">
        <f>_xlfn.XLOOKUP(A21,'[1]By Project'!$B:$B,'[1]By Project'!$C:$C,0)</f>
        <v>Ignore for now</v>
      </c>
    </row>
    <row r="22" spans="1:4">
      <c r="A22" s="20" t="s">
        <v>42</v>
      </c>
      <c r="B22" s="20" t="s">
        <v>43</v>
      </c>
      <c r="C22" s="20" t="s">
        <v>13</v>
      </c>
      <c r="D22" s="20" t="str">
        <f>_xlfn.XLOOKUP(A22,'[1]By Project'!$B:$B,'[1]By Project'!$C:$C,0)</f>
        <v>Ignore for now</v>
      </c>
    </row>
    <row r="23" spans="1:4" hidden="1">
      <c r="A23" s="20" t="s">
        <v>44</v>
      </c>
      <c r="B23" s="20" t="s">
        <v>45</v>
      </c>
      <c r="C23" s="20" t="s">
        <v>10</v>
      </c>
      <c r="D23" s="20" t="str">
        <f>_xlfn.XLOOKUP(A23,'[1]By Project'!$B:$B,'[1]By Project'!$C:$C,0)</f>
        <v>Ignore for now</v>
      </c>
    </row>
    <row r="24" spans="1:4">
      <c r="A24" s="20" t="s">
        <v>46</v>
      </c>
      <c r="B24" s="20" t="s">
        <v>5</v>
      </c>
      <c r="C24" s="20" t="s">
        <v>13</v>
      </c>
      <c r="D24" s="20" t="str">
        <f>_xlfn.XLOOKUP(A24,'[1]By Project'!$B:$B,'[1]By Project'!$C:$C,0)</f>
        <v>Ignore for now</v>
      </c>
    </row>
    <row r="25" spans="1:4" hidden="1">
      <c r="A25" s="20" t="s">
        <v>47</v>
      </c>
      <c r="B25" s="20" t="s">
        <v>48</v>
      </c>
      <c r="C25" s="20" t="s">
        <v>10</v>
      </c>
      <c r="D25" s="20" t="str">
        <f>_xlfn.XLOOKUP(A25,'[1]By Project'!$B:$B,'[1]By Project'!$C:$C,0)</f>
        <v>Operations Transformation</v>
      </c>
    </row>
    <row r="26" spans="1:4">
      <c r="A26" s="20" t="s">
        <v>49</v>
      </c>
      <c r="B26" s="20" t="s">
        <v>50</v>
      </c>
      <c r="C26" s="20" t="s">
        <v>13</v>
      </c>
      <c r="D26" s="20" t="str">
        <f>_xlfn.XLOOKUP(A26,'[1]By Project'!$B:$B,'[1]By Project'!$C:$C,0)</f>
        <v>Ignore for now</v>
      </c>
    </row>
    <row r="27" spans="1:4">
      <c r="A27" s="20" t="s">
        <v>51</v>
      </c>
      <c r="B27" s="20" t="s">
        <v>18</v>
      </c>
      <c r="C27" s="20" t="s">
        <v>13</v>
      </c>
      <c r="D27" s="20" t="str">
        <f>_xlfn.XLOOKUP(A27,'[1]By Project'!$B:$B,'[1]By Project'!$C:$C,0)</f>
        <v>Ignore for now</v>
      </c>
    </row>
    <row r="28" spans="1:4" hidden="1">
      <c r="A28" s="20" t="s">
        <v>52</v>
      </c>
      <c r="B28" s="20" t="s">
        <v>12</v>
      </c>
      <c r="C28" s="20" t="s">
        <v>6</v>
      </c>
      <c r="D28" s="20" t="str">
        <f>_xlfn.XLOOKUP(A28,'[1]By Project'!$B:$B,'[1]By Project'!$C:$C,0)</f>
        <v>Strategic Finance Transformation</v>
      </c>
    </row>
    <row r="29" spans="1:4">
      <c r="A29" s="20" t="s">
        <v>53</v>
      </c>
      <c r="B29" s="20" t="s">
        <v>5</v>
      </c>
      <c r="C29" s="20" t="s">
        <v>13</v>
      </c>
      <c r="D29" s="20" t="str">
        <f>_xlfn.XLOOKUP(A29,'[1]By Project'!$B:$B,'[1]By Project'!$C:$C,0)</f>
        <v>Strategic Finance Transformation</v>
      </c>
    </row>
    <row r="30" spans="1:4" hidden="1">
      <c r="A30" s="20" t="s">
        <v>54</v>
      </c>
      <c r="B30" s="20" t="s">
        <v>15</v>
      </c>
      <c r="C30" s="20" t="s">
        <v>23</v>
      </c>
      <c r="D30" s="20" t="str">
        <f>_xlfn.XLOOKUP(A30,'[1]By Project'!$B:$B,'[1]By Project'!$C:$C,0)</f>
        <v>Strategy and Growth</v>
      </c>
    </row>
    <row r="31" spans="1:4">
      <c r="A31" s="20" t="s">
        <v>55</v>
      </c>
      <c r="B31" s="20" t="s">
        <v>56</v>
      </c>
      <c r="C31" s="20" t="s">
        <v>13</v>
      </c>
      <c r="D31" s="20" t="str">
        <f>_xlfn.XLOOKUP(A31,'[1]By Project'!$B:$B,'[1]By Project'!$C:$C,0)</f>
        <v>Ignore for now</v>
      </c>
    </row>
    <row r="32" spans="1:4">
      <c r="A32" s="20" t="s">
        <v>57</v>
      </c>
      <c r="B32" s="20" t="s">
        <v>8</v>
      </c>
      <c r="C32" s="20" t="s">
        <v>13</v>
      </c>
      <c r="D32" s="20" t="str">
        <f>_xlfn.XLOOKUP(A32,'[1]By Project'!$B:$B,'[1]By Project'!$C:$C,0)</f>
        <v>Strategy and Growth</v>
      </c>
    </row>
    <row r="33" spans="1:4" hidden="1">
      <c r="A33" s="20" t="s">
        <v>58</v>
      </c>
      <c r="B33" s="20" t="s">
        <v>43</v>
      </c>
      <c r="C33" s="20" t="s">
        <v>19</v>
      </c>
      <c r="D33" s="20" t="str">
        <f>_xlfn.XLOOKUP(A33,'[1]By Project'!$B:$B,'[1]By Project'!$C:$C,0)</f>
        <v>Legacy projects</v>
      </c>
    </row>
    <row r="34" spans="1:4" hidden="1">
      <c r="A34" s="20" t="s">
        <v>59</v>
      </c>
      <c r="B34" s="20" t="s">
        <v>60</v>
      </c>
      <c r="C34" s="20" t="s">
        <v>19</v>
      </c>
      <c r="D34" s="20" t="str">
        <f>_xlfn.XLOOKUP(A34,'[1]By Project'!$B:$B,'[1]By Project'!$C:$C,0)</f>
        <v>Ignore for now</v>
      </c>
    </row>
    <row r="35" spans="1:4" hidden="1">
      <c r="A35" s="20" t="s">
        <v>61</v>
      </c>
      <c r="B35" s="20" t="s">
        <v>18</v>
      </c>
      <c r="C35" s="20" t="s">
        <v>19</v>
      </c>
      <c r="D35" s="20" t="str">
        <f>_xlfn.XLOOKUP(A35,'[1]By Project'!$B:$B,'[1]By Project'!$C:$C,0)</f>
        <v>Ignore for now</v>
      </c>
    </row>
    <row r="36" spans="1:4" hidden="1">
      <c r="A36" s="20" t="s">
        <v>62</v>
      </c>
      <c r="B36" s="20" t="s">
        <v>48</v>
      </c>
      <c r="C36" s="20" t="s">
        <v>19</v>
      </c>
      <c r="D36" s="20" t="str">
        <f>_xlfn.XLOOKUP(A36,'[1]By Project'!$B:$B,'[1]By Project'!$C:$C,0)</f>
        <v>Ignore for now</v>
      </c>
    </row>
    <row r="37" spans="1:4">
      <c r="A37" s="20" t="s">
        <v>63</v>
      </c>
      <c r="B37" s="20" t="s">
        <v>36</v>
      </c>
      <c r="C37" s="20" t="s">
        <v>13</v>
      </c>
      <c r="D37" s="20" t="str">
        <f>_xlfn.XLOOKUP(A37,'[1]By Project'!$B:$B,'[1]By Project'!$C:$C,0)</f>
        <v>Ignore for now</v>
      </c>
    </row>
    <row r="38" spans="1:4">
      <c r="A38" s="20" t="s">
        <v>64</v>
      </c>
      <c r="B38" s="20" t="s">
        <v>65</v>
      </c>
      <c r="C38" s="20" t="s">
        <v>13</v>
      </c>
      <c r="D38" s="20" t="str">
        <f>_xlfn.XLOOKUP(A38,'[1]By Project'!$B:$B,'[1]By Project'!$C:$C,0)</f>
        <v>Strategy and Growth</v>
      </c>
    </row>
    <row r="39" spans="1:4" hidden="1">
      <c r="A39" s="20" t="s">
        <v>66</v>
      </c>
      <c r="B39" s="20" t="s">
        <v>15</v>
      </c>
      <c r="C39" s="20" t="s">
        <v>23</v>
      </c>
      <c r="D39" s="20" t="str">
        <f>_xlfn.XLOOKUP(A39,'[1]By Project'!$B:$B,'[1]By Project'!$C:$C,0)</f>
        <v>Legacy projects</v>
      </c>
    </row>
    <row r="40" spans="1:4">
      <c r="A40" s="20" t="s">
        <v>67</v>
      </c>
      <c r="B40" s="20" t="s">
        <v>5</v>
      </c>
      <c r="C40" s="20" t="s">
        <v>13</v>
      </c>
      <c r="D40" s="20" t="str">
        <f>_xlfn.XLOOKUP(A40,'[1]By Project'!$B:$B,'[1]By Project'!$C:$C,0)</f>
        <v>Legacy projects</v>
      </c>
    </row>
    <row r="41" spans="1:4">
      <c r="A41" s="20" t="s">
        <v>68</v>
      </c>
      <c r="B41" s="20" t="s">
        <v>36</v>
      </c>
      <c r="C41" s="20" t="s">
        <v>13</v>
      </c>
      <c r="D41" s="20" t="str">
        <f>_xlfn.XLOOKUP(A41,'[1]By Project'!$B:$B,'[1]By Project'!$C:$C,0)</f>
        <v>Strategy and Growth</v>
      </c>
    </row>
    <row r="42" spans="1:4" hidden="1">
      <c r="A42" s="20" t="s">
        <v>69</v>
      </c>
      <c r="B42" s="20" t="s">
        <v>70</v>
      </c>
      <c r="C42" s="20" t="s">
        <v>6</v>
      </c>
      <c r="D42" s="20" t="str">
        <f>_xlfn.XLOOKUP(A42,'[1]By Project'!$B:$B,'[1]By Project'!$C:$C,0)</f>
        <v>Ignore for now</v>
      </c>
    </row>
    <row r="43" spans="1:4">
      <c r="A43" s="20" t="s">
        <v>71</v>
      </c>
      <c r="B43" s="20" t="s">
        <v>5</v>
      </c>
      <c r="C43" s="20" t="s">
        <v>13</v>
      </c>
      <c r="D43" s="20" t="str">
        <f>_xlfn.XLOOKUP(A43,'[1]By Project'!$B:$B,'[1]By Project'!$C:$C,0)</f>
        <v>Legacy projects</v>
      </c>
    </row>
    <row r="44" spans="1:4">
      <c r="A44" s="20" t="s">
        <v>72</v>
      </c>
      <c r="B44" s="20" t="s">
        <v>27</v>
      </c>
      <c r="C44" s="20" t="s">
        <v>13</v>
      </c>
      <c r="D44" s="20" t="str">
        <f>_xlfn.XLOOKUP(A44,'[1]By Project'!$B:$B,'[1]By Project'!$C:$C,0)</f>
        <v>Legacy projects</v>
      </c>
    </row>
    <row r="45" spans="1:4" hidden="1">
      <c r="A45" s="20" t="s">
        <v>73</v>
      </c>
      <c r="B45" s="20" t="s">
        <v>74</v>
      </c>
      <c r="C45" s="20" t="s">
        <v>19</v>
      </c>
      <c r="D45" s="20" t="str">
        <f>_xlfn.XLOOKUP(A45,'[1]By Project'!$B:$B,'[1]By Project'!$C:$C,0)</f>
        <v>Legacy projects</v>
      </c>
    </row>
    <row r="46" spans="1:4">
      <c r="A46" s="20" t="s">
        <v>75</v>
      </c>
      <c r="B46" s="20" t="s">
        <v>45</v>
      </c>
      <c r="C46" s="20" t="s">
        <v>13</v>
      </c>
      <c r="D46" s="20" t="str">
        <f>_xlfn.XLOOKUP(A46,'[1]By Project'!$B:$B,'[1]By Project'!$C:$C,0)</f>
        <v>Ignore for now</v>
      </c>
    </row>
    <row r="47" spans="1:4" hidden="1">
      <c r="A47" s="20" t="s">
        <v>76</v>
      </c>
      <c r="B47" s="20" t="s">
        <v>50</v>
      </c>
      <c r="C47" s="20" t="s">
        <v>10</v>
      </c>
      <c r="D47" s="20" t="str">
        <f>_xlfn.XLOOKUP(A47,'[1]By Project'!$B:$B,'[1]By Project'!$C:$C,0)</f>
        <v>Strategic Finance Transformation</v>
      </c>
    </row>
    <row r="48" spans="1:4" hidden="1">
      <c r="A48" s="20" t="s">
        <v>77</v>
      </c>
      <c r="B48" s="20" t="s">
        <v>78</v>
      </c>
      <c r="C48" s="20" t="s">
        <v>10</v>
      </c>
      <c r="D48" s="20" t="str">
        <f>_xlfn.XLOOKUP(A48,'[1]By Project'!$B:$B,'[1]By Project'!$C:$C,0)</f>
        <v>Analytics as a Service</v>
      </c>
    </row>
    <row r="49" spans="1:4">
      <c r="A49" s="20" t="s">
        <v>79</v>
      </c>
      <c r="B49" s="20" t="s">
        <v>56</v>
      </c>
      <c r="C49" s="20" t="s">
        <v>13</v>
      </c>
      <c r="D49" s="20" t="str">
        <f>_xlfn.XLOOKUP(A49,'[1]By Project'!$B:$B,'[1]By Project'!$C:$C,0)</f>
        <v>Ignore for now</v>
      </c>
    </row>
    <row r="50" spans="1:4">
      <c r="A50" s="20" t="s">
        <v>80</v>
      </c>
      <c r="B50" s="20" t="s">
        <v>36</v>
      </c>
      <c r="C50" s="20" t="s">
        <v>13</v>
      </c>
      <c r="D50" s="20" t="str">
        <f>_xlfn.XLOOKUP(A50,'[1]By Project'!$B:$B,'[1]By Project'!$C:$C,0)</f>
        <v>Ignore for now</v>
      </c>
    </row>
    <row r="51" spans="1:4" hidden="1">
      <c r="A51" s="20" t="s">
        <v>81</v>
      </c>
      <c r="B51" s="20" t="s">
        <v>27</v>
      </c>
      <c r="C51" s="20" t="s">
        <v>23</v>
      </c>
      <c r="D51" s="20" t="str">
        <f>_xlfn.XLOOKUP(A51,'[1]By Project'!$B:$B,'[1]By Project'!$C:$C,0)</f>
        <v>Ignore for now</v>
      </c>
    </row>
    <row r="52" spans="1:4">
      <c r="A52" s="20" t="s">
        <v>82</v>
      </c>
      <c r="B52" s="20" t="s">
        <v>21</v>
      </c>
      <c r="C52" s="20" t="s">
        <v>13</v>
      </c>
      <c r="D52" s="20" t="str">
        <f>_xlfn.XLOOKUP(A52,'[1]By Project'!$B:$B,'[1]By Project'!$C:$C,0)</f>
        <v>Legacy projects</v>
      </c>
    </row>
    <row r="53" spans="1:4" hidden="1">
      <c r="A53" s="20" t="s">
        <v>83</v>
      </c>
      <c r="B53" s="20" t="s">
        <v>15</v>
      </c>
      <c r="C53" s="20" t="s">
        <v>19</v>
      </c>
      <c r="D53" s="20" t="str">
        <f>_xlfn.XLOOKUP(A53,'[1]By Project'!$B:$B,'[1]By Project'!$C:$C,0)</f>
        <v>Ignore for now</v>
      </c>
    </row>
    <row r="54" spans="1:4" hidden="1">
      <c r="A54" s="20" t="s">
        <v>84</v>
      </c>
      <c r="B54" s="20" t="s">
        <v>85</v>
      </c>
      <c r="C54" s="20" t="s">
        <v>19</v>
      </c>
      <c r="D54" s="20" t="str">
        <f>_xlfn.XLOOKUP(A54,'[1]By Project'!$B:$B,'[1]By Project'!$C:$C,0)</f>
        <v>Legacy projects</v>
      </c>
    </row>
    <row r="55" spans="1:4" hidden="1">
      <c r="A55" s="20" t="s">
        <v>86</v>
      </c>
      <c r="B55" s="20" t="s">
        <v>25</v>
      </c>
      <c r="C55" s="20" t="s">
        <v>10</v>
      </c>
      <c r="D55" s="20" t="str">
        <f>_xlfn.XLOOKUP(A55,'[1]By Project'!$B:$B,'[1]By Project'!$C:$C,0)</f>
        <v>Ignore for now</v>
      </c>
    </row>
    <row r="56" spans="1:4">
      <c r="A56" s="20" t="s">
        <v>87</v>
      </c>
      <c r="B56" s="20" t="s">
        <v>8</v>
      </c>
      <c r="C56" s="20" t="s">
        <v>13</v>
      </c>
      <c r="D56" s="20" t="str">
        <f>_xlfn.XLOOKUP(A56,'[1]By Project'!$B:$B,'[1]By Project'!$C:$C,0)</f>
        <v>Strategy and Growth</v>
      </c>
    </row>
    <row r="57" spans="1:4">
      <c r="A57" s="20" t="s">
        <v>88</v>
      </c>
      <c r="B57" s="20" t="s">
        <v>21</v>
      </c>
      <c r="C57" s="20" t="s">
        <v>13</v>
      </c>
      <c r="D57" s="20" t="str">
        <f>_xlfn.XLOOKUP(A57,'[1]By Project'!$B:$B,'[1]By Project'!$C:$C,0)</f>
        <v>Ignore for now</v>
      </c>
    </row>
    <row r="58" spans="1:4" hidden="1">
      <c r="A58" s="20" t="s">
        <v>89</v>
      </c>
      <c r="B58" s="20" t="s">
        <v>90</v>
      </c>
      <c r="C58" s="20" t="s">
        <v>19</v>
      </c>
      <c r="D58" s="20" t="str">
        <f>_xlfn.XLOOKUP(A58,'[1]By Project'!$B:$B,'[1]By Project'!$C:$C,0)</f>
        <v>Strategic Finance Transformation</v>
      </c>
    </row>
    <row r="59" spans="1:4">
      <c r="A59" s="20" t="s">
        <v>91</v>
      </c>
      <c r="B59" s="20" t="s">
        <v>18</v>
      </c>
      <c r="C59" s="20" t="s">
        <v>13</v>
      </c>
      <c r="D59" s="20" t="str">
        <f>_xlfn.XLOOKUP(A59,'[1]By Project'!$B:$B,'[1]By Project'!$C:$C,0)</f>
        <v>Ignore for now</v>
      </c>
    </row>
    <row r="60" spans="1:4" hidden="1">
      <c r="A60" s="20" t="s">
        <v>92</v>
      </c>
      <c r="B60" s="20" t="s">
        <v>21</v>
      </c>
      <c r="C60" s="20" t="s">
        <v>10</v>
      </c>
      <c r="D60" s="20" t="str">
        <f>_xlfn.XLOOKUP(A60,'[1]By Project'!$B:$B,'[1]By Project'!$C:$C,0)</f>
        <v>Ignore for now</v>
      </c>
    </row>
    <row r="61" spans="1:4" hidden="1">
      <c r="A61" s="20" t="s">
        <v>93</v>
      </c>
      <c r="B61" s="20" t="s">
        <v>25</v>
      </c>
      <c r="C61" s="20" t="s">
        <v>19</v>
      </c>
      <c r="D61" s="20" t="str">
        <f>_xlfn.XLOOKUP(A61,'[1]By Project'!$B:$B,'[1]By Project'!$C:$C,0)</f>
        <v>Legacy projects</v>
      </c>
    </row>
    <row r="62" spans="1:4" hidden="1">
      <c r="A62" s="20" t="s">
        <v>94</v>
      </c>
      <c r="B62" s="20" t="s">
        <v>21</v>
      </c>
      <c r="C62" s="20" t="s">
        <v>10</v>
      </c>
      <c r="D62" s="20" t="str">
        <f>_xlfn.XLOOKUP(A62,'[1]By Project'!$B:$B,'[1]By Project'!$C:$C,0)</f>
        <v>Ignore for now</v>
      </c>
    </row>
    <row r="63" spans="1:4">
      <c r="A63" s="20" t="s">
        <v>95</v>
      </c>
      <c r="B63" s="20" t="s">
        <v>96</v>
      </c>
      <c r="C63" s="20" t="s">
        <v>13</v>
      </c>
      <c r="D63" s="20" t="str">
        <f>_xlfn.XLOOKUP(A63,'[1]By Project'!$B:$B,'[1]By Project'!$C:$C,0)</f>
        <v>Legacy projects</v>
      </c>
    </row>
    <row r="64" spans="1:4" hidden="1">
      <c r="A64" s="20" t="s">
        <v>97</v>
      </c>
      <c r="B64" s="20" t="s">
        <v>15</v>
      </c>
      <c r="C64" s="20" t="s">
        <v>19</v>
      </c>
      <c r="D64" s="20" t="str">
        <f>_xlfn.XLOOKUP(A64,'[1]By Project'!$B:$B,'[1]By Project'!$C:$C,0)</f>
        <v>Ignore for now</v>
      </c>
    </row>
    <row r="65" spans="1:4">
      <c r="A65" s="20" t="s">
        <v>98</v>
      </c>
      <c r="B65" s="20" t="s">
        <v>74</v>
      </c>
      <c r="C65" s="20" t="s">
        <v>13</v>
      </c>
      <c r="D65" s="20" t="str">
        <f>_xlfn.XLOOKUP(A65,'[1]By Project'!$B:$B,'[1]By Project'!$C:$C,0)</f>
        <v>Legacy projects</v>
      </c>
    </row>
    <row r="66" spans="1:4">
      <c r="A66" s="20" t="s">
        <v>99</v>
      </c>
      <c r="B66" s="20" t="s">
        <v>31</v>
      </c>
      <c r="C66" s="20" t="s">
        <v>13</v>
      </c>
      <c r="D66" s="20" t="str">
        <f>_xlfn.XLOOKUP(A66,'[1]By Project'!$B:$B,'[1]By Project'!$C:$C,0)</f>
        <v>Ignore for now</v>
      </c>
    </row>
    <row r="67" spans="1:4">
      <c r="A67" s="20" t="s">
        <v>100</v>
      </c>
      <c r="B67" s="20" t="s">
        <v>18</v>
      </c>
      <c r="C67" s="20" t="s">
        <v>13</v>
      </c>
      <c r="D67" s="20" t="str">
        <f>_xlfn.XLOOKUP(A67,'[1]By Project'!$B:$B,'[1]By Project'!$C:$C,0)</f>
        <v>Legacy projects</v>
      </c>
    </row>
    <row r="68" spans="1:4" hidden="1">
      <c r="A68" s="20" t="s">
        <v>101</v>
      </c>
      <c r="B68" s="20" t="s">
        <v>31</v>
      </c>
      <c r="C68" s="20" t="s">
        <v>19</v>
      </c>
      <c r="D68" s="20" t="str">
        <f>_xlfn.XLOOKUP(A68,'[1]By Project'!$B:$B,'[1]By Project'!$C:$C,0)</f>
        <v>Legacy projects</v>
      </c>
    </row>
    <row r="69" spans="1:4" hidden="1">
      <c r="A69" s="20" t="s">
        <v>102</v>
      </c>
      <c r="B69" s="20" t="s">
        <v>74</v>
      </c>
      <c r="C69" s="20" t="s">
        <v>19</v>
      </c>
      <c r="D69" s="20" t="str">
        <f>_xlfn.XLOOKUP(A69,'[1]By Project'!$B:$B,'[1]By Project'!$C:$C,0)</f>
        <v>Strategic Finance Transformation</v>
      </c>
    </row>
    <row r="70" spans="1:4">
      <c r="A70" s="20" t="s">
        <v>103</v>
      </c>
      <c r="B70" s="20" t="s">
        <v>8</v>
      </c>
      <c r="C70" s="20" t="s">
        <v>13</v>
      </c>
      <c r="D70" s="20" t="str">
        <f>_xlfn.XLOOKUP(A70,'[1]By Project'!$B:$B,'[1]By Project'!$C:$C,0)</f>
        <v>Legacy projects</v>
      </c>
    </row>
    <row r="71" spans="1:4">
      <c r="A71" s="20" t="s">
        <v>104</v>
      </c>
      <c r="B71" s="20" t="s">
        <v>105</v>
      </c>
      <c r="C71" s="20" t="s">
        <v>13</v>
      </c>
      <c r="D71" s="20" t="str">
        <f>_xlfn.XLOOKUP(A71,'[1]By Project'!$B:$B,'[1]By Project'!$C:$C,0)</f>
        <v>Ignore for now</v>
      </c>
    </row>
    <row r="72" spans="1:4" hidden="1">
      <c r="A72" s="20" t="s">
        <v>106</v>
      </c>
      <c r="B72" s="20" t="s">
        <v>74</v>
      </c>
      <c r="C72" s="20" t="s">
        <v>19</v>
      </c>
      <c r="D72" s="20" t="str">
        <f>_xlfn.XLOOKUP(A72,'[1]By Project'!$B:$B,'[1]By Project'!$C:$C,0)</f>
        <v>Strategy and Growth</v>
      </c>
    </row>
    <row r="73" spans="1:4">
      <c r="A73" s="20" t="s">
        <v>107</v>
      </c>
      <c r="B73" s="20" t="s">
        <v>65</v>
      </c>
      <c r="C73" s="20" t="s">
        <v>13</v>
      </c>
      <c r="D73" s="20" t="str">
        <f>_xlfn.XLOOKUP(A73,'[1]By Project'!$B:$B,'[1]By Project'!$C:$C,0)</f>
        <v>Ignore for now</v>
      </c>
    </row>
    <row r="74" spans="1:4">
      <c r="A74" s="20" t="s">
        <v>108</v>
      </c>
      <c r="B74" s="20" t="s">
        <v>43</v>
      </c>
      <c r="C74" s="20" t="s">
        <v>13</v>
      </c>
      <c r="D74" s="20" t="str">
        <f>_xlfn.XLOOKUP(A74,'[1]By Project'!$B:$B,'[1]By Project'!$C:$C,0)</f>
        <v>Ignore for now</v>
      </c>
    </row>
    <row r="75" spans="1:4" hidden="1">
      <c r="A75" s="20" t="s">
        <v>109</v>
      </c>
      <c r="B75" s="20" t="s">
        <v>8</v>
      </c>
      <c r="C75" s="20" t="s">
        <v>8</v>
      </c>
      <c r="D75" s="20" t="str">
        <f>_xlfn.XLOOKUP(A75,'[1]By Project'!$B:$B,'[1]By Project'!$C:$C,0)</f>
        <v>Strategic Finance Transformation</v>
      </c>
    </row>
    <row r="76" spans="1:4">
      <c r="A76" s="20" t="s">
        <v>110</v>
      </c>
      <c r="B76" s="20" t="s">
        <v>31</v>
      </c>
      <c r="C76" s="20" t="s">
        <v>13</v>
      </c>
      <c r="D76" s="20" t="str">
        <f>_xlfn.XLOOKUP(A76,'[1]By Project'!$B:$B,'[1]By Project'!$C:$C,0)</f>
        <v>Ignore for now</v>
      </c>
    </row>
    <row r="77" spans="1:4" hidden="1">
      <c r="A77" s="20" t="s">
        <v>111</v>
      </c>
      <c r="B77" s="20" t="s">
        <v>74</v>
      </c>
      <c r="C77" s="20" t="s">
        <v>19</v>
      </c>
      <c r="D77" s="20" t="str">
        <f>_xlfn.XLOOKUP(A77,'[1]By Project'!$B:$B,'[1]By Project'!$C:$C,0)</f>
        <v>Ignore for now</v>
      </c>
    </row>
    <row r="78" spans="1:4" hidden="1">
      <c r="A78" s="20" t="s">
        <v>112</v>
      </c>
      <c r="B78" s="20" t="s">
        <v>113</v>
      </c>
      <c r="C78" s="20" t="s">
        <v>19</v>
      </c>
      <c r="D78" s="20" t="str">
        <f>_xlfn.XLOOKUP(A78,'[1]By Project'!$B:$B,'[1]By Project'!$C:$C,0)</f>
        <v>Legacy projects</v>
      </c>
    </row>
    <row r="79" spans="1:4">
      <c r="A79" s="20" t="s">
        <v>114</v>
      </c>
      <c r="B79" s="20" t="s">
        <v>96</v>
      </c>
      <c r="C79" s="20" t="s">
        <v>13</v>
      </c>
      <c r="D79" s="20" t="str">
        <f>_xlfn.XLOOKUP(A79,'[1]By Project'!$B:$B,'[1]By Project'!$C:$C,0)</f>
        <v>Legacy projects</v>
      </c>
    </row>
    <row r="80" spans="1:4">
      <c r="A80" s="20" t="s">
        <v>115</v>
      </c>
      <c r="B80" s="20" t="s">
        <v>18</v>
      </c>
      <c r="C80" s="20" t="s">
        <v>13</v>
      </c>
      <c r="D80" s="20" t="str">
        <f>_xlfn.XLOOKUP(A80,'[1]By Project'!$B:$B,'[1]By Project'!$C:$C,0)</f>
        <v>Legacy projects</v>
      </c>
    </row>
    <row r="81" spans="1:4" hidden="1">
      <c r="A81" s="20" t="s">
        <v>116</v>
      </c>
      <c r="B81" s="20" t="s">
        <v>60</v>
      </c>
      <c r="C81" s="20" t="s">
        <v>8</v>
      </c>
      <c r="D81" s="20" t="str">
        <f>_xlfn.XLOOKUP(A81,'[1]By Project'!$B:$B,'[1]By Project'!$C:$C,0)</f>
        <v>Legacy projects</v>
      </c>
    </row>
    <row r="82" spans="1:4" hidden="1">
      <c r="A82" s="20" t="s">
        <v>117</v>
      </c>
      <c r="B82" s="20" t="s">
        <v>56</v>
      </c>
      <c r="C82" s="20" t="s">
        <v>19</v>
      </c>
      <c r="D82" s="20" t="str">
        <f>_xlfn.XLOOKUP(A82,'[1]By Project'!$B:$B,'[1]By Project'!$C:$C,0)</f>
        <v>Legacy projects</v>
      </c>
    </row>
    <row r="83" spans="1:4" hidden="1">
      <c r="A83" s="20" t="s">
        <v>118</v>
      </c>
      <c r="B83" s="20" t="s">
        <v>21</v>
      </c>
      <c r="C83" s="20" t="s">
        <v>10</v>
      </c>
      <c r="D83" s="20">
        <f>_xlfn.XLOOKUP(A83,'[1]By Project'!$B:$B,'[1]By Project'!$C:$C,0)</f>
        <v>0</v>
      </c>
    </row>
    <row r="84" spans="1:4" hidden="1">
      <c r="A84" s="20" t="s">
        <v>119</v>
      </c>
      <c r="B84" s="20" t="s">
        <v>31</v>
      </c>
      <c r="C84" s="20" t="s">
        <v>19</v>
      </c>
      <c r="D84" s="20" t="str">
        <f>_xlfn.XLOOKUP(A84,'[1]By Project'!$B:$B,'[1]By Project'!$C:$C,0)</f>
        <v>Ignore for now</v>
      </c>
    </row>
    <row r="85" spans="1:4" hidden="1">
      <c r="A85" s="20" t="s">
        <v>120</v>
      </c>
      <c r="B85" s="20" t="s">
        <v>5</v>
      </c>
      <c r="C85" s="20" t="s">
        <v>6</v>
      </c>
      <c r="D85" s="20" t="str">
        <f>_xlfn.XLOOKUP(A85,'[1]By Project'!$B:$B,'[1]By Project'!$C:$C,0)</f>
        <v>Ignore for now</v>
      </c>
    </row>
    <row r="86" spans="1:4">
      <c r="A86" s="20" t="s">
        <v>121</v>
      </c>
      <c r="B86" s="20" t="s">
        <v>74</v>
      </c>
      <c r="C86" s="20" t="s">
        <v>13</v>
      </c>
      <c r="D86" s="20" t="str">
        <f>_xlfn.XLOOKUP(A86,'[1]By Project'!$B:$B,'[1]By Project'!$C:$C,0)</f>
        <v>Legacy projects</v>
      </c>
    </row>
    <row r="87" spans="1:4" hidden="1">
      <c r="A87" s="20" t="s">
        <v>122</v>
      </c>
      <c r="B87" s="20" t="s">
        <v>123</v>
      </c>
      <c r="C87" s="20" t="s">
        <v>10</v>
      </c>
      <c r="D87" s="20" t="str">
        <f>_xlfn.XLOOKUP(A87,'[1]By Project'!$B:$B,'[1]By Project'!$C:$C,0)</f>
        <v>Strategic Finance Transformation</v>
      </c>
    </row>
    <row r="88" spans="1:4" hidden="1">
      <c r="A88" s="20" t="s">
        <v>124</v>
      </c>
      <c r="B88" s="20" t="s">
        <v>56</v>
      </c>
      <c r="C88" s="20" t="s">
        <v>125</v>
      </c>
      <c r="D88" s="20" t="str">
        <f>_xlfn.XLOOKUP(A88,'[1]By Project'!$B:$B,'[1]By Project'!$C:$C,0)</f>
        <v>Legacy projects</v>
      </c>
    </row>
    <row r="89" spans="1:4">
      <c r="A89" s="20" t="s">
        <v>126</v>
      </c>
      <c r="B89" s="20" t="s">
        <v>43</v>
      </c>
      <c r="C89" s="20" t="s">
        <v>13</v>
      </c>
      <c r="D89" s="20" t="str">
        <f>_xlfn.XLOOKUP(A89,'[1]By Project'!$B:$B,'[1]By Project'!$C:$C,0)</f>
        <v>Strategic Finance Transformation</v>
      </c>
    </row>
    <row r="90" spans="1:4" hidden="1">
      <c r="A90" s="20" t="s">
        <v>127</v>
      </c>
      <c r="B90" s="20" t="s">
        <v>128</v>
      </c>
      <c r="C90" s="20" t="s">
        <v>10</v>
      </c>
      <c r="D90" s="20" t="str">
        <f>_xlfn.XLOOKUP(A90,'[1]By Project'!$B:$B,'[1]By Project'!$C:$C,0)</f>
        <v>Legacy projects</v>
      </c>
    </row>
    <row r="91" spans="1:4">
      <c r="A91" s="20" t="s">
        <v>129</v>
      </c>
      <c r="B91" s="20" t="s">
        <v>113</v>
      </c>
      <c r="C91" s="20" t="s">
        <v>13</v>
      </c>
      <c r="D91" s="20" t="str">
        <f>_xlfn.XLOOKUP(A91,'[1]By Project'!$B:$B,'[1]By Project'!$C:$C,0)</f>
        <v>Legacy projects</v>
      </c>
    </row>
    <row r="92" spans="1:4">
      <c r="A92" s="20" t="s">
        <v>130</v>
      </c>
      <c r="B92" s="20" t="s">
        <v>15</v>
      </c>
      <c r="C92" s="20" t="s">
        <v>13</v>
      </c>
      <c r="D92" s="20" t="str">
        <f>_xlfn.XLOOKUP(A92,'[1]By Project'!$B:$B,'[1]By Project'!$C:$C,0)</f>
        <v>Analytics as a Service</v>
      </c>
    </row>
    <row r="93" spans="1:4" hidden="1">
      <c r="A93" s="20" t="s">
        <v>131</v>
      </c>
      <c r="B93" s="20" t="s">
        <v>18</v>
      </c>
      <c r="C93" s="20" t="s">
        <v>19</v>
      </c>
      <c r="D93" s="20" t="str">
        <f>_xlfn.XLOOKUP(A93,'[1]By Project'!$B:$B,'[1]By Project'!$C:$C,0)</f>
        <v>Digital Transformation</v>
      </c>
    </row>
    <row r="94" spans="1:4" hidden="1">
      <c r="A94" s="20" t="s">
        <v>132</v>
      </c>
      <c r="B94" s="20" t="s">
        <v>50</v>
      </c>
      <c r="C94" s="20" t="s">
        <v>6</v>
      </c>
      <c r="D94" s="20" t="str">
        <f>_xlfn.XLOOKUP(A94,'[1]By Project'!$B:$B,'[1]By Project'!$C:$C,0)</f>
        <v>Ignore for now</v>
      </c>
    </row>
    <row r="95" spans="1:4">
      <c r="A95" s="20" t="s">
        <v>133</v>
      </c>
      <c r="B95" s="20" t="s">
        <v>123</v>
      </c>
      <c r="C95" s="20" t="s">
        <v>13</v>
      </c>
      <c r="D95" s="20" t="str">
        <f>_xlfn.XLOOKUP(A95,'[1]By Project'!$B:$B,'[1]By Project'!$C:$C,0)</f>
        <v>Operations Transformation</v>
      </c>
    </row>
    <row r="96" spans="1:4">
      <c r="A96" s="20" t="s">
        <v>134</v>
      </c>
      <c r="B96" s="20" t="s">
        <v>18</v>
      </c>
      <c r="C96" s="20" t="s">
        <v>13</v>
      </c>
      <c r="D96" s="20" t="str">
        <f>_xlfn.XLOOKUP(A96,'[1]By Project'!$B:$B,'[1]By Project'!$C:$C,0)</f>
        <v>Ignore for now</v>
      </c>
    </row>
    <row r="97" spans="1:4">
      <c r="A97" s="20" t="s">
        <v>135</v>
      </c>
      <c r="B97" s="20" t="s">
        <v>15</v>
      </c>
      <c r="C97" s="20" t="s">
        <v>13</v>
      </c>
      <c r="D97" s="20" t="str">
        <f>_xlfn.XLOOKUP(A97,'[1]By Project'!$B:$B,'[1]By Project'!$C:$C,0)</f>
        <v>Ignore for now</v>
      </c>
    </row>
    <row r="98" spans="1:4">
      <c r="A98" s="20" t="s">
        <v>136</v>
      </c>
      <c r="B98" s="20" t="s">
        <v>137</v>
      </c>
      <c r="C98" s="20" t="s">
        <v>13</v>
      </c>
      <c r="D98" s="20" t="str">
        <f>_xlfn.XLOOKUP(A98,'[1]By Project'!$B:$B,'[1]By Project'!$C:$C,0)</f>
        <v>Ignore for now</v>
      </c>
    </row>
    <row r="99" spans="1:4" hidden="1">
      <c r="A99" s="20" t="s">
        <v>138</v>
      </c>
      <c r="B99" s="20" t="s">
        <v>25</v>
      </c>
      <c r="C99" s="20" t="s">
        <v>10</v>
      </c>
      <c r="D99" s="20" t="str">
        <f>_xlfn.XLOOKUP(A99,'[1]By Project'!$B:$B,'[1]By Project'!$C:$C,0)</f>
        <v>Legacy projects</v>
      </c>
    </row>
    <row r="100" spans="1:4" hidden="1">
      <c r="A100" s="20" t="s">
        <v>139</v>
      </c>
      <c r="B100" s="20" t="s">
        <v>15</v>
      </c>
      <c r="C100" s="20" t="s">
        <v>8</v>
      </c>
      <c r="D100" s="20" t="str">
        <f>_xlfn.XLOOKUP(A100,'[1]By Project'!$B:$B,'[1]By Project'!$C:$C,0)</f>
        <v>Legacy projects</v>
      </c>
    </row>
    <row r="101" spans="1:4">
      <c r="A101" s="20" t="s">
        <v>140</v>
      </c>
      <c r="B101" s="20" t="s">
        <v>36</v>
      </c>
      <c r="C101" s="20" t="s">
        <v>13</v>
      </c>
      <c r="D101" s="20" t="str">
        <f>_xlfn.XLOOKUP(A101,'[1]By Project'!$B:$B,'[1]By Project'!$C:$C,0)</f>
        <v>Ignore for now</v>
      </c>
    </row>
    <row r="102" spans="1:4" hidden="1">
      <c r="A102" s="20" t="s">
        <v>141</v>
      </c>
      <c r="B102" s="20" t="s">
        <v>96</v>
      </c>
      <c r="C102" s="20" t="s">
        <v>6</v>
      </c>
      <c r="D102" s="20" t="str">
        <f>_xlfn.XLOOKUP(A102,'[1]By Project'!$B:$B,'[1]By Project'!$C:$C,0)</f>
        <v>Ignore for now</v>
      </c>
    </row>
    <row r="103" spans="1:4">
      <c r="A103" s="20" t="s">
        <v>142</v>
      </c>
      <c r="B103" s="20" t="s">
        <v>31</v>
      </c>
      <c r="C103" s="20" t="s">
        <v>13</v>
      </c>
      <c r="D103" s="20" t="str">
        <f>_xlfn.XLOOKUP(A103,'[1]By Project'!$B:$B,'[1]By Project'!$C:$C,0)</f>
        <v>Ignore for now</v>
      </c>
    </row>
    <row r="104" spans="1:4">
      <c r="A104" s="20" t="s">
        <v>143</v>
      </c>
      <c r="B104" s="20" t="s">
        <v>5</v>
      </c>
      <c r="C104" s="20" t="s">
        <v>13</v>
      </c>
      <c r="D104" s="20" t="str">
        <f>_xlfn.XLOOKUP(A104,'[1]By Project'!$B:$B,'[1]By Project'!$C:$C,0)</f>
        <v>Ignore for now</v>
      </c>
    </row>
    <row r="105" spans="1:4">
      <c r="A105" s="20" t="s">
        <v>144</v>
      </c>
      <c r="B105" s="20" t="s">
        <v>50</v>
      </c>
      <c r="C105" s="20" t="s">
        <v>13</v>
      </c>
      <c r="D105" s="20" t="str">
        <f>_xlfn.XLOOKUP(A105,'[1]By Project'!$B:$B,'[1]By Project'!$C:$C,0)</f>
        <v>Ignore for now</v>
      </c>
    </row>
    <row r="106" spans="1:4" hidden="1">
      <c r="A106" s="20" t="s">
        <v>145</v>
      </c>
      <c r="B106" s="20" t="s">
        <v>41</v>
      </c>
      <c r="C106" s="20" t="s">
        <v>10</v>
      </c>
      <c r="D106" s="20" t="str">
        <f>_xlfn.XLOOKUP(A106,'[1]By Project'!$B:$B,'[1]By Project'!$C:$C,0)</f>
        <v>Legacy projects</v>
      </c>
    </row>
    <row r="107" spans="1:4" hidden="1">
      <c r="A107" s="20" t="s">
        <v>146</v>
      </c>
      <c r="B107" s="20" t="s">
        <v>15</v>
      </c>
      <c r="C107" s="20" t="s">
        <v>19</v>
      </c>
      <c r="D107" s="20" t="str">
        <f>_xlfn.XLOOKUP(A107,'[1]By Project'!$B:$B,'[1]By Project'!$C:$C,0)</f>
        <v>Ignore for now</v>
      </c>
    </row>
    <row r="108" spans="1:4">
      <c r="A108" s="20" t="s">
        <v>147</v>
      </c>
      <c r="B108" s="20" t="s">
        <v>5</v>
      </c>
      <c r="C108" s="20" t="s">
        <v>13</v>
      </c>
      <c r="D108" s="20" t="str">
        <f>_xlfn.XLOOKUP(A108,'[1]By Project'!$B:$B,'[1]By Project'!$C:$C,0)</f>
        <v>Ignore for now</v>
      </c>
    </row>
    <row r="109" spans="1:4">
      <c r="A109" s="20" t="s">
        <v>148</v>
      </c>
      <c r="B109" s="20" t="s">
        <v>96</v>
      </c>
      <c r="C109" s="20" t="s">
        <v>13</v>
      </c>
      <c r="D109" s="20" t="str">
        <f>_xlfn.XLOOKUP(A109,'[1]By Project'!$B:$B,'[1]By Project'!$C:$C,0)</f>
        <v>Strategy and Growth</v>
      </c>
    </row>
    <row r="110" spans="1:4" hidden="1">
      <c r="A110" s="20" t="s">
        <v>149</v>
      </c>
      <c r="B110" s="20" t="s">
        <v>56</v>
      </c>
      <c r="C110" s="20" t="s">
        <v>10</v>
      </c>
      <c r="D110" s="20" t="str">
        <f>_xlfn.XLOOKUP(A110,'[1]By Project'!$B:$B,'[1]By Project'!$C:$C,0)</f>
        <v>Legacy projects</v>
      </c>
    </row>
    <row r="111" spans="1:4">
      <c r="A111" s="20" t="s">
        <v>150</v>
      </c>
      <c r="B111" s="20" t="s">
        <v>36</v>
      </c>
      <c r="C111" s="20" t="s">
        <v>13</v>
      </c>
      <c r="D111" s="20" t="str">
        <f>_xlfn.XLOOKUP(A111,'[1]By Project'!$B:$B,'[1]By Project'!$C:$C,0)</f>
        <v>Strategy and Growth</v>
      </c>
    </row>
    <row r="112" spans="1:4">
      <c r="A112" s="20" t="s">
        <v>151</v>
      </c>
      <c r="B112" s="20" t="s">
        <v>5</v>
      </c>
      <c r="C112" s="20" t="s">
        <v>13</v>
      </c>
      <c r="D112" s="20" t="str">
        <f>_xlfn.XLOOKUP(A112,'[1]By Project'!$B:$B,'[1]By Project'!$C:$C,0)</f>
        <v>Ignore for now</v>
      </c>
    </row>
    <row r="113" spans="1:4" hidden="1">
      <c r="A113" s="20" t="s">
        <v>152</v>
      </c>
      <c r="B113" s="20" t="s">
        <v>31</v>
      </c>
      <c r="C113" s="20" t="s">
        <v>19</v>
      </c>
      <c r="D113" s="20" t="str">
        <f>_xlfn.XLOOKUP(A113,'[1]By Project'!$B:$B,'[1]By Project'!$C:$C,0)</f>
        <v>Ignore for now</v>
      </c>
    </row>
    <row r="114" spans="1:4" hidden="1">
      <c r="A114" s="20" t="s">
        <v>153</v>
      </c>
      <c r="B114" s="20" t="s">
        <v>25</v>
      </c>
      <c r="C114" s="20" t="s">
        <v>19</v>
      </c>
      <c r="D114" s="20" t="str">
        <f>_xlfn.XLOOKUP(A114,'[1]By Project'!$B:$B,'[1]By Project'!$C:$C,0)</f>
        <v>Ignore for now</v>
      </c>
    </row>
    <row r="115" spans="1:4" hidden="1">
      <c r="A115" s="20" t="s">
        <v>154</v>
      </c>
      <c r="B115" s="20" t="s">
        <v>15</v>
      </c>
      <c r="C115" s="20" t="s">
        <v>23</v>
      </c>
      <c r="D115" s="20" t="str">
        <f>_xlfn.XLOOKUP(A115,'[1]By Project'!$B:$B,'[1]By Project'!$C:$C,0)</f>
        <v>Legacy projects</v>
      </c>
    </row>
    <row r="116" spans="1:4">
      <c r="A116" s="20" t="s">
        <v>155</v>
      </c>
      <c r="B116" s="20" t="s">
        <v>41</v>
      </c>
      <c r="C116" s="20" t="s">
        <v>13</v>
      </c>
      <c r="D116" s="20" t="str">
        <f>_xlfn.XLOOKUP(A116,'[1]By Project'!$B:$B,'[1]By Project'!$C:$C,0)</f>
        <v>Strategy and Growth</v>
      </c>
    </row>
    <row r="117" spans="1:4" hidden="1">
      <c r="A117" s="20" t="s">
        <v>156</v>
      </c>
      <c r="B117" s="20" t="s">
        <v>15</v>
      </c>
      <c r="C117" s="20" t="s">
        <v>19</v>
      </c>
      <c r="D117" s="20" t="str">
        <f>_xlfn.XLOOKUP(A117,'[1]By Project'!$B:$B,'[1]By Project'!$C:$C,0)</f>
        <v>Legacy projects</v>
      </c>
    </row>
    <row r="118" spans="1:4">
      <c r="A118" s="20" t="s">
        <v>157</v>
      </c>
      <c r="B118" s="20" t="s">
        <v>123</v>
      </c>
      <c r="C118" s="20" t="s">
        <v>158</v>
      </c>
      <c r="D118" s="20" t="str">
        <f>_xlfn.XLOOKUP(A118,'[1]By Project'!$B:$B,'[1]By Project'!$C:$C,0)</f>
        <v>Legacy projects</v>
      </c>
    </row>
    <row r="119" spans="1:4">
      <c r="A119" s="20" t="s">
        <v>159</v>
      </c>
      <c r="B119" s="20" t="s">
        <v>45</v>
      </c>
      <c r="C119" s="20" t="s">
        <v>13</v>
      </c>
      <c r="D119" s="20" t="str">
        <f>_xlfn.XLOOKUP(A119,'[1]By Project'!$B:$B,'[1]By Project'!$C:$C,0)</f>
        <v>Post Merger Integration</v>
      </c>
    </row>
    <row r="120" spans="1:4" hidden="1">
      <c r="A120" s="20" t="s">
        <v>160</v>
      </c>
      <c r="B120" s="20" t="s">
        <v>15</v>
      </c>
      <c r="C120" s="20" t="s">
        <v>19</v>
      </c>
      <c r="D120" s="20" t="str">
        <f>_xlfn.XLOOKUP(A120,'[1]By Project'!$B:$B,'[1]By Project'!$C:$C,0)</f>
        <v>Ignore for now</v>
      </c>
    </row>
    <row r="121" spans="1:4">
      <c r="A121" s="20" t="s">
        <v>161</v>
      </c>
      <c r="B121" s="20" t="s">
        <v>50</v>
      </c>
      <c r="C121" s="20" t="s">
        <v>13</v>
      </c>
      <c r="D121" s="20" t="str">
        <f>_xlfn.XLOOKUP(A121,'[1]By Project'!$B:$B,'[1]By Project'!$C:$C,0)</f>
        <v>Ignore for now</v>
      </c>
    </row>
    <row r="122" spans="1:4" hidden="1">
      <c r="A122" s="20" t="s">
        <v>162</v>
      </c>
      <c r="B122" s="20" t="s">
        <v>45</v>
      </c>
      <c r="C122" s="20" t="s">
        <v>19</v>
      </c>
      <c r="D122" s="20" t="str">
        <f>_xlfn.XLOOKUP(A122,'[1]By Project'!$B:$B,'[1]By Project'!$C:$C,0)</f>
        <v>Ignore for now</v>
      </c>
    </row>
    <row r="123" spans="1:4">
      <c r="A123" s="20" t="s">
        <v>163</v>
      </c>
      <c r="B123" s="20" t="s">
        <v>50</v>
      </c>
      <c r="C123" s="20" t="s">
        <v>13</v>
      </c>
      <c r="D123" s="20" t="str">
        <f>_xlfn.XLOOKUP(A123,'[1]By Project'!$B:$B,'[1]By Project'!$C:$C,0)</f>
        <v>Ignore for now</v>
      </c>
    </row>
    <row r="124" spans="1:4">
      <c r="A124" s="20" t="s">
        <v>164</v>
      </c>
      <c r="B124" s="20" t="s">
        <v>15</v>
      </c>
      <c r="C124" s="20" t="s">
        <v>13</v>
      </c>
      <c r="D124" s="20" t="str">
        <f>_xlfn.XLOOKUP(A124,'[1]By Project'!$B:$B,'[1]By Project'!$C:$C,0)</f>
        <v>Ignore for now</v>
      </c>
    </row>
    <row r="125" spans="1:4">
      <c r="A125" s="20" t="s">
        <v>165</v>
      </c>
      <c r="B125" s="20" t="s">
        <v>15</v>
      </c>
      <c r="C125" s="20" t="s">
        <v>13</v>
      </c>
      <c r="D125" s="20" t="str">
        <f>_xlfn.XLOOKUP(A125,'[1]By Project'!$B:$B,'[1]By Project'!$C:$C,0)</f>
        <v>Ignore for now</v>
      </c>
    </row>
    <row r="126" spans="1:4">
      <c r="A126" s="20" t="s">
        <v>166</v>
      </c>
      <c r="B126" s="20" t="s">
        <v>36</v>
      </c>
      <c r="C126" s="20" t="s">
        <v>13</v>
      </c>
      <c r="D126" s="20" t="str">
        <f>_xlfn.XLOOKUP(A126,'[1]By Project'!$B:$B,'[1]By Project'!$C:$C,0)</f>
        <v>Legacy projects</v>
      </c>
    </row>
    <row r="127" spans="1:4" hidden="1">
      <c r="A127" s="20" t="s">
        <v>167</v>
      </c>
      <c r="B127" s="20" t="s">
        <v>168</v>
      </c>
      <c r="C127" s="20" t="s">
        <v>19</v>
      </c>
      <c r="D127" s="20" t="str">
        <f>_xlfn.XLOOKUP(A127,'[1]By Project'!$B:$B,'[1]By Project'!$C:$C,0)</f>
        <v>Legacy projects</v>
      </c>
    </row>
    <row r="128" spans="1:4">
      <c r="A128" s="20" t="s">
        <v>169</v>
      </c>
      <c r="B128" s="20" t="s">
        <v>5</v>
      </c>
      <c r="C128" s="20" t="s">
        <v>13</v>
      </c>
      <c r="D128" s="20" t="str">
        <f>_xlfn.XLOOKUP(A128,'[1]By Project'!$B:$B,'[1]By Project'!$C:$C,0)</f>
        <v>Ignore for now</v>
      </c>
    </row>
    <row r="129" spans="1:4" hidden="1">
      <c r="A129" s="20" t="s">
        <v>170</v>
      </c>
      <c r="B129" s="20" t="s">
        <v>65</v>
      </c>
      <c r="C129" s="20" t="s">
        <v>10</v>
      </c>
      <c r="D129" s="20" t="str">
        <f>_xlfn.XLOOKUP(A129,'[1]By Project'!$B:$B,'[1]By Project'!$C:$C,0)</f>
        <v>Ignore for now</v>
      </c>
    </row>
    <row r="130" spans="1:4">
      <c r="A130" s="20" t="s">
        <v>171</v>
      </c>
      <c r="B130" s="20" t="s">
        <v>8</v>
      </c>
      <c r="C130" s="20" t="s">
        <v>13</v>
      </c>
      <c r="D130" s="20" t="str">
        <f>_xlfn.XLOOKUP(A130,'[1]By Project'!$B:$B,'[1]By Project'!$C:$C,0)</f>
        <v>Strategic Finance Transformation</v>
      </c>
    </row>
    <row r="131" spans="1:4" hidden="1">
      <c r="A131" s="20" t="s">
        <v>172</v>
      </c>
      <c r="B131" s="20" t="s">
        <v>85</v>
      </c>
      <c r="C131" s="20" t="s">
        <v>10</v>
      </c>
      <c r="D131" s="20" t="str">
        <f>_xlfn.XLOOKUP(A131,'[1]By Project'!$B:$B,'[1]By Project'!$C:$C,0)</f>
        <v>Strategic Finance Transformation</v>
      </c>
    </row>
    <row r="132" spans="1:4">
      <c r="A132" s="20" t="s">
        <v>173</v>
      </c>
      <c r="B132" s="20" t="s">
        <v>8</v>
      </c>
      <c r="C132" s="20" t="s">
        <v>13</v>
      </c>
      <c r="D132" s="20" t="str">
        <f>_xlfn.XLOOKUP(A132,'[1]By Project'!$B:$B,'[1]By Project'!$C:$C,0)</f>
        <v>Ignore for now</v>
      </c>
    </row>
    <row r="133" spans="1:4">
      <c r="A133" s="20" t="s">
        <v>174</v>
      </c>
      <c r="B133" s="20" t="s">
        <v>41</v>
      </c>
      <c r="C133" s="20" t="s">
        <v>13</v>
      </c>
      <c r="D133" s="20" t="str">
        <f>_xlfn.XLOOKUP(A133,'[1]By Project'!$B:$B,'[1]By Project'!$C:$C,0)</f>
        <v>Strategy and Growth</v>
      </c>
    </row>
    <row r="134" spans="1:4" hidden="1">
      <c r="A134" s="20" t="s">
        <v>175</v>
      </c>
      <c r="B134" s="20" t="s">
        <v>74</v>
      </c>
      <c r="C134" s="20" t="s">
        <v>19</v>
      </c>
      <c r="D134" s="20" t="str">
        <f>_xlfn.XLOOKUP(A134,'[1]By Project'!$B:$B,'[1]By Project'!$C:$C,0)</f>
        <v>Ignore for now</v>
      </c>
    </row>
    <row r="135" spans="1:4" hidden="1">
      <c r="A135" s="20" t="s">
        <v>176</v>
      </c>
      <c r="B135" s="20" t="s">
        <v>8</v>
      </c>
      <c r="C135" s="20" t="s">
        <v>8</v>
      </c>
      <c r="D135" s="20" t="str">
        <f>_xlfn.XLOOKUP(A135,'[1]By Project'!$B:$B,'[1]By Project'!$C:$C,0)</f>
        <v>Ignore for now</v>
      </c>
    </row>
    <row r="136" spans="1:4" hidden="1">
      <c r="A136" s="20" t="s">
        <v>177</v>
      </c>
      <c r="B136" s="20" t="s">
        <v>8</v>
      </c>
      <c r="C136" s="20" t="s">
        <v>8</v>
      </c>
      <c r="D136" s="20" t="str">
        <f>_xlfn.XLOOKUP(A136,'[1]By Project'!$B:$B,'[1]By Project'!$C:$C,0)</f>
        <v>Ignore for now</v>
      </c>
    </row>
    <row r="137" spans="1:4">
      <c r="A137" s="20" t="s">
        <v>178</v>
      </c>
      <c r="B137" s="20" t="s">
        <v>179</v>
      </c>
      <c r="C137" s="20" t="s">
        <v>13</v>
      </c>
      <c r="D137" s="20" t="str">
        <f>_xlfn.XLOOKUP(A137,'[1]By Project'!$B:$B,'[1]By Project'!$C:$C,0)</f>
        <v>Strategic Finance Transformation</v>
      </c>
    </row>
    <row r="138" spans="1:4">
      <c r="A138" s="20" t="s">
        <v>180</v>
      </c>
      <c r="B138" s="20" t="s">
        <v>5</v>
      </c>
      <c r="C138" s="20" t="s">
        <v>13</v>
      </c>
      <c r="D138" s="20" t="str">
        <f>_xlfn.XLOOKUP(A138,'[1]By Project'!$B:$B,'[1]By Project'!$C:$C,0)</f>
        <v>Ignore for now</v>
      </c>
    </row>
    <row r="139" spans="1:4">
      <c r="A139" s="20" t="s">
        <v>181</v>
      </c>
      <c r="B139" s="20" t="s">
        <v>137</v>
      </c>
      <c r="C139" s="20" t="s">
        <v>13</v>
      </c>
      <c r="D139" s="20" t="str">
        <f>_xlfn.XLOOKUP(A139,'[1]By Project'!$B:$B,'[1]By Project'!$C:$C,0)</f>
        <v>Strategy and Growth</v>
      </c>
    </row>
    <row r="140" spans="1:4" hidden="1">
      <c r="A140" s="20" t="s">
        <v>182</v>
      </c>
      <c r="B140" s="20" t="s">
        <v>43</v>
      </c>
      <c r="C140" s="20" t="s">
        <v>6</v>
      </c>
      <c r="D140" s="20" t="str">
        <f>_xlfn.XLOOKUP(A140,'[1]By Project'!$B:$B,'[1]By Project'!$C:$C,0)</f>
        <v>Legacy projects</v>
      </c>
    </row>
    <row r="141" spans="1:4">
      <c r="A141" s="20" t="s">
        <v>183</v>
      </c>
      <c r="B141" s="20" t="s">
        <v>21</v>
      </c>
      <c r="C141" s="20" t="s">
        <v>13</v>
      </c>
      <c r="D141" s="20" t="str">
        <f>_xlfn.XLOOKUP(A141,'[1]By Project'!$B:$B,'[1]By Project'!$C:$C,0)</f>
        <v>Ignore for now</v>
      </c>
    </row>
    <row r="142" spans="1:4" hidden="1">
      <c r="A142" s="20" t="s">
        <v>184</v>
      </c>
      <c r="B142" s="20" t="s">
        <v>36</v>
      </c>
      <c r="C142" s="20" t="s">
        <v>10</v>
      </c>
      <c r="D142" s="20" t="str">
        <f>_xlfn.XLOOKUP(A142,'[1]By Project'!$B:$B,'[1]By Project'!$C:$C,0)</f>
        <v>Strategic Finance Transformation</v>
      </c>
    </row>
    <row r="143" spans="1:4">
      <c r="A143" s="20" t="s">
        <v>185</v>
      </c>
      <c r="B143" s="20" t="s">
        <v>36</v>
      </c>
      <c r="C143" s="20" t="s">
        <v>13</v>
      </c>
      <c r="D143" s="20" t="str">
        <f>_xlfn.XLOOKUP(A143,'[1]By Project'!$B:$B,'[1]By Project'!$C:$C,0)</f>
        <v>Ignore for now</v>
      </c>
    </row>
    <row r="144" spans="1:4">
      <c r="A144" s="20" t="s">
        <v>186</v>
      </c>
      <c r="B144" s="20" t="s">
        <v>45</v>
      </c>
      <c r="C144" s="20" t="s">
        <v>13</v>
      </c>
      <c r="D144" s="20" t="str">
        <f>_xlfn.XLOOKUP(A144,'[1]By Project'!$B:$B,'[1]By Project'!$C:$C,0)</f>
        <v>Ignore for now</v>
      </c>
    </row>
    <row r="145" spans="1:4" hidden="1">
      <c r="A145" s="20" t="s">
        <v>187</v>
      </c>
      <c r="B145" s="20" t="s">
        <v>33</v>
      </c>
      <c r="C145" s="20" t="s">
        <v>19</v>
      </c>
      <c r="D145" s="20" t="str">
        <f>_xlfn.XLOOKUP(A145,'[1]By Project'!$B:$B,'[1]By Project'!$C:$C,0)</f>
        <v>Legacy projects</v>
      </c>
    </row>
    <row r="146" spans="1:4" hidden="1">
      <c r="A146" s="20" t="s">
        <v>188</v>
      </c>
      <c r="B146" s="20" t="s">
        <v>15</v>
      </c>
      <c r="C146" s="20" t="s">
        <v>19</v>
      </c>
      <c r="D146" s="20" t="str">
        <f>_xlfn.XLOOKUP(A146,'[1]By Project'!$B:$B,'[1]By Project'!$C:$C,0)</f>
        <v>Ignore for now</v>
      </c>
    </row>
    <row r="147" spans="1:4">
      <c r="A147" s="20" t="s">
        <v>189</v>
      </c>
      <c r="B147" s="20" t="s">
        <v>123</v>
      </c>
      <c r="C147" s="20" t="s">
        <v>13</v>
      </c>
      <c r="D147" s="20" t="str">
        <f>_xlfn.XLOOKUP(A147,'[1]By Project'!$B:$B,'[1]By Project'!$C:$C,0)</f>
        <v>Ignore for now</v>
      </c>
    </row>
    <row r="148" spans="1:4">
      <c r="A148" s="20" t="s">
        <v>190</v>
      </c>
      <c r="B148" s="20" t="s">
        <v>31</v>
      </c>
      <c r="C148" s="20" t="s">
        <v>13</v>
      </c>
      <c r="D148" s="20" t="str">
        <f>_xlfn.XLOOKUP(A148,'[1]By Project'!$B:$B,'[1]By Project'!$C:$C,0)</f>
        <v>Ignore for now</v>
      </c>
    </row>
    <row r="149" spans="1:4" hidden="1">
      <c r="A149" s="20" t="s">
        <v>191</v>
      </c>
      <c r="B149" s="20" t="s">
        <v>41</v>
      </c>
      <c r="C149" s="20" t="s">
        <v>23</v>
      </c>
      <c r="D149" s="20" t="str">
        <f>_xlfn.XLOOKUP(A149,'[1]By Project'!$B:$B,'[1]By Project'!$C:$C,0)</f>
        <v>Ignore for now</v>
      </c>
    </row>
    <row r="150" spans="1:4">
      <c r="A150" s="20" t="s">
        <v>192</v>
      </c>
      <c r="B150" s="20" t="s">
        <v>50</v>
      </c>
      <c r="C150" s="20" t="s">
        <v>13</v>
      </c>
      <c r="D150" s="20" t="str">
        <f>_xlfn.XLOOKUP(A150,'[1]By Project'!$B:$B,'[1]By Project'!$C:$C,0)</f>
        <v>Digital Transformation</v>
      </c>
    </row>
    <row r="151" spans="1:4">
      <c r="A151" s="20" t="s">
        <v>193</v>
      </c>
      <c r="B151" s="20" t="s">
        <v>18</v>
      </c>
      <c r="C151" s="20" t="s">
        <v>13</v>
      </c>
      <c r="D151" s="20" t="str">
        <f>_xlfn.XLOOKUP(A151,'[1]By Project'!$B:$B,'[1]By Project'!$C:$C,0)</f>
        <v>Ignore for now</v>
      </c>
    </row>
    <row r="152" spans="1:4" hidden="1">
      <c r="A152" s="20" t="s">
        <v>194</v>
      </c>
      <c r="B152" s="20" t="s">
        <v>33</v>
      </c>
      <c r="C152" s="20" t="s">
        <v>34</v>
      </c>
      <c r="D152" s="20" t="str">
        <f>_xlfn.XLOOKUP(A152,'[1]By Project'!$B:$B,'[1]By Project'!$C:$C,0)</f>
        <v>Ignore for now</v>
      </c>
    </row>
    <row r="153" spans="1:4" hidden="1">
      <c r="A153" s="20" t="s">
        <v>195</v>
      </c>
      <c r="B153" s="20" t="s">
        <v>31</v>
      </c>
      <c r="C153" s="20" t="s">
        <v>10</v>
      </c>
      <c r="D153" s="20" t="str">
        <f>_xlfn.XLOOKUP(A153,'[1]By Project'!$B:$B,'[1]By Project'!$C:$C,0)</f>
        <v>Ignore for now</v>
      </c>
    </row>
    <row r="154" spans="1:4">
      <c r="A154" s="20" t="s">
        <v>196</v>
      </c>
      <c r="B154" s="20" t="s">
        <v>90</v>
      </c>
      <c r="C154" s="20" t="s">
        <v>13</v>
      </c>
      <c r="D154" s="20" t="str">
        <f>_xlfn.XLOOKUP(A154,'[1]By Project'!$B:$B,'[1]By Project'!$C:$C,0)</f>
        <v>Ignore for now</v>
      </c>
    </row>
    <row r="155" spans="1:4" hidden="1">
      <c r="A155" s="20" t="s">
        <v>197</v>
      </c>
      <c r="B155" s="20" t="s">
        <v>5</v>
      </c>
      <c r="C155" s="20" t="s">
        <v>10</v>
      </c>
      <c r="D155" s="20" t="str">
        <f>_xlfn.XLOOKUP(A155,'[1]By Project'!$B:$B,'[1]By Project'!$C:$C,0)</f>
        <v>Strategic Finance Transformation</v>
      </c>
    </row>
    <row r="156" spans="1:4" hidden="1">
      <c r="A156" s="20" t="s">
        <v>198</v>
      </c>
      <c r="B156" s="20" t="s">
        <v>90</v>
      </c>
      <c r="C156" s="20" t="s">
        <v>19</v>
      </c>
      <c r="D156" s="20" t="str">
        <f>_xlfn.XLOOKUP(A156,'[1]By Project'!$B:$B,'[1]By Project'!$C:$C,0)</f>
        <v>Ignore for now</v>
      </c>
    </row>
    <row r="157" spans="1:4" hidden="1">
      <c r="A157" s="20" t="s">
        <v>199</v>
      </c>
      <c r="B157" s="20" t="s">
        <v>15</v>
      </c>
      <c r="C157" s="20" t="s">
        <v>23</v>
      </c>
      <c r="D157" s="20" t="str">
        <f>_xlfn.XLOOKUP(A157,'[1]By Project'!$B:$B,'[1]By Project'!$C:$C,0)</f>
        <v>Ignore for now</v>
      </c>
    </row>
    <row r="158" spans="1:4">
      <c r="A158" s="20" t="s">
        <v>200</v>
      </c>
      <c r="B158" s="20" t="s">
        <v>5</v>
      </c>
      <c r="C158" s="20" t="s">
        <v>13</v>
      </c>
      <c r="D158" s="20" t="str">
        <f>_xlfn.XLOOKUP(A158,'[1]By Project'!$B:$B,'[1]By Project'!$C:$C,0)</f>
        <v>Legacy projects</v>
      </c>
    </row>
    <row r="159" spans="1:4">
      <c r="A159" s="20" t="s">
        <v>201</v>
      </c>
      <c r="B159" s="20" t="s">
        <v>31</v>
      </c>
      <c r="C159" s="20" t="s">
        <v>13</v>
      </c>
      <c r="D159" s="20" t="str">
        <f>_xlfn.XLOOKUP(A159,'[1]By Project'!$B:$B,'[1]By Project'!$C:$C,0)</f>
        <v>Ignore for now</v>
      </c>
    </row>
    <row r="160" spans="1:4">
      <c r="A160" s="20" t="s">
        <v>202</v>
      </c>
      <c r="B160" s="20" t="s">
        <v>123</v>
      </c>
      <c r="C160" s="20" t="s">
        <v>158</v>
      </c>
      <c r="D160" s="20" t="str">
        <f>_xlfn.XLOOKUP(A160,'[1]By Project'!$B:$B,'[1]By Project'!$C:$C,0)</f>
        <v>Legacy projects</v>
      </c>
    </row>
    <row r="161" spans="1:4" hidden="1">
      <c r="A161" s="20" t="s">
        <v>203</v>
      </c>
      <c r="B161" s="20" t="s">
        <v>48</v>
      </c>
      <c r="C161" s="20" t="s">
        <v>10</v>
      </c>
      <c r="D161" s="20" t="str">
        <f>_xlfn.XLOOKUP(A161,'[1]By Project'!$B:$B,'[1]By Project'!$C:$C,0)</f>
        <v>Strategic Finance Transformation</v>
      </c>
    </row>
    <row r="162" spans="1:4">
      <c r="A162" s="20" t="s">
        <v>204</v>
      </c>
      <c r="B162" s="20" t="s">
        <v>21</v>
      </c>
      <c r="C162" s="20" t="s">
        <v>158</v>
      </c>
      <c r="D162" s="20" t="str">
        <f>_xlfn.XLOOKUP(A162,'[1]By Project'!$B:$B,'[1]By Project'!$C:$C,0)</f>
        <v>Legacy projects</v>
      </c>
    </row>
    <row r="163" spans="1:4">
      <c r="A163" s="20" t="s">
        <v>205</v>
      </c>
      <c r="B163" s="20" t="s">
        <v>5</v>
      </c>
      <c r="C163" s="20" t="s">
        <v>13</v>
      </c>
      <c r="D163" s="20" t="str">
        <f>_xlfn.XLOOKUP(A163,'[1]By Project'!$B:$B,'[1]By Project'!$C:$C,0)</f>
        <v>Legacy projects</v>
      </c>
    </row>
    <row r="164" spans="1:4">
      <c r="A164" s="20" t="s">
        <v>206</v>
      </c>
      <c r="B164" s="20" t="s">
        <v>43</v>
      </c>
      <c r="C164" s="20" t="s">
        <v>13</v>
      </c>
      <c r="D164" s="20" t="str">
        <f>_xlfn.XLOOKUP(A164,'[1]By Project'!$B:$B,'[1]By Project'!$C:$C,0)</f>
        <v>Analytics as a Service</v>
      </c>
    </row>
    <row r="165" spans="1:4" hidden="1">
      <c r="A165" s="20" t="s">
        <v>207</v>
      </c>
      <c r="B165" s="20" t="s">
        <v>8</v>
      </c>
      <c r="C165" s="20" t="s">
        <v>8</v>
      </c>
      <c r="D165" s="20" t="str">
        <f>_xlfn.XLOOKUP(A165,'[1]By Project'!$B:$B,'[1]By Project'!$C:$C,0)</f>
        <v>Ignore for now</v>
      </c>
    </row>
    <row r="166" spans="1:4">
      <c r="A166" s="20" t="s">
        <v>208</v>
      </c>
      <c r="B166" s="20" t="s">
        <v>96</v>
      </c>
      <c r="C166" s="20" t="s">
        <v>13</v>
      </c>
      <c r="D166" s="20" t="str">
        <f>_xlfn.XLOOKUP(A166,'[1]By Project'!$B:$B,'[1]By Project'!$C:$C,0)</f>
        <v>Ignore for now</v>
      </c>
    </row>
    <row r="167" spans="1:4" hidden="1">
      <c r="A167" s="20" t="s">
        <v>209</v>
      </c>
      <c r="B167" s="20" t="s">
        <v>50</v>
      </c>
      <c r="C167" s="20" t="s">
        <v>6</v>
      </c>
      <c r="D167" s="20" t="str">
        <f>_xlfn.XLOOKUP(A167,'[1]By Project'!$B:$B,'[1]By Project'!$C:$C,0)</f>
        <v>Ignore for now</v>
      </c>
    </row>
    <row r="168" spans="1:4">
      <c r="A168" s="20" t="s">
        <v>210</v>
      </c>
      <c r="B168" s="20" t="s">
        <v>15</v>
      </c>
      <c r="C168" s="20" t="s">
        <v>13</v>
      </c>
      <c r="D168" s="20" t="str">
        <f>_xlfn.XLOOKUP(A168,'[1]By Project'!$B:$B,'[1]By Project'!$C:$C,0)</f>
        <v>Ignore for now</v>
      </c>
    </row>
    <row r="169" spans="1:4">
      <c r="A169" s="20" t="s">
        <v>211</v>
      </c>
      <c r="B169" s="20" t="s">
        <v>15</v>
      </c>
      <c r="C169" s="20" t="s">
        <v>13</v>
      </c>
      <c r="D169" s="20" t="str">
        <f>_xlfn.XLOOKUP(A169,'[1]By Project'!$B:$B,'[1]By Project'!$C:$C,0)</f>
        <v>Ignore for now</v>
      </c>
    </row>
    <row r="170" spans="1:4" hidden="1">
      <c r="A170" s="20" t="s">
        <v>212</v>
      </c>
      <c r="B170" s="20" t="s">
        <v>8</v>
      </c>
      <c r="C170" s="20" t="s">
        <v>8</v>
      </c>
      <c r="D170" s="20" t="str">
        <f>_xlfn.XLOOKUP(A170,'[1]By Project'!$B:$B,'[1]By Project'!$C:$C,0)</f>
        <v>Ignore for now</v>
      </c>
    </row>
    <row r="171" spans="1:4">
      <c r="A171" s="20" t="s">
        <v>213</v>
      </c>
      <c r="B171" s="20" t="s">
        <v>21</v>
      </c>
      <c r="C171" s="20" t="s">
        <v>13</v>
      </c>
      <c r="D171" s="20" t="str">
        <f>_xlfn.XLOOKUP(A171,'[1]By Project'!$B:$B,'[1]By Project'!$C:$C,0)</f>
        <v>Ignore for now</v>
      </c>
    </row>
    <row r="172" spans="1:4">
      <c r="A172" s="20" t="s">
        <v>214</v>
      </c>
      <c r="B172" s="20" t="s">
        <v>123</v>
      </c>
      <c r="C172" s="20" t="s">
        <v>13</v>
      </c>
      <c r="D172" s="20" t="str">
        <f>_xlfn.XLOOKUP(A172,'[1]By Project'!$B:$B,'[1]By Project'!$C:$C,0)</f>
        <v>Ignore for now</v>
      </c>
    </row>
    <row r="173" spans="1:4">
      <c r="A173" s="20" t="s">
        <v>215</v>
      </c>
      <c r="B173" s="20" t="s">
        <v>50</v>
      </c>
      <c r="C173" s="20" t="s">
        <v>13</v>
      </c>
      <c r="D173" s="20" t="str">
        <f>_xlfn.XLOOKUP(A173,'[1]By Project'!$B:$B,'[1]By Project'!$C:$C,0)</f>
        <v>Legacy projects</v>
      </c>
    </row>
    <row r="174" spans="1:4" hidden="1">
      <c r="A174" s="20" t="s">
        <v>216</v>
      </c>
      <c r="B174" s="20" t="s">
        <v>217</v>
      </c>
      <c r="C174" s="20" t="s">
        <v>6</v>
      </c>
      <c r="D174" s="20" t="str">
        <f>_xlfn.XLOOKUP(A174,'[1]By Project'!$B:$B,'[1]By Project'!$C:$C,0)</f>
        <v>Ignore for now</v>
      </c>
    </row>
    <row r="175" spans="1:4">
      <c r="A175" s="20" t="s">
        <v>218</v>
      </c>
      <c r="B175" s="20" t="s">
        <v>27</v>
      </c>
      <c r="C175" s="20" t="s">
        <v>13</v>
      </c>
      <c r="D175" s="20" t="str">
        <f>_xlfn.XLOOKUP(A175,'[1]By Project'!$B:$B,'[1]By Project'!$C:$C,0)</f>
        <v>Ignore for now</v>
      </c>
    </row>
    <row r="176" spans="1:4">
      <c r="A176" s="20" t="s">
        <v>219</v>
      </c>
      <c r="B176" s="20" t="s">
        <v>90</v>
      </c>
      <c r="C176" s="20" t="s">
        <v>13</v>
      </c>
      <c r="D176" s="20" t="str">
        <f>_xlfn.XLOOKUP(A176,'[1]By Project'!$B:$B,'[1]By Project'!$C:$C,0)</f>
        <v>Ignore for now</v>
      </c>
    </row>
    <row r="177" spans="1:4">
      <c r="A177" s="20" t="s">
        <v>220</v>
      </c>
      <c r="B177" s="20" t="s">
        <v>74</v>
      </c>
      <c r="C177" s="20" t="s">
        <v>221</v>
      </c>
      <c r="D177" s="20" t="str">
        <f>_xlfn.XLOOKUP(A177,'[1]By Project'!$B:$B,'[1]By Project'!$C:$C,0)</f>
        <v>Ignore for now</v>
      </c>
    </row>
    <row r="178" spans="1:4">
      <c r="A178" s="20" t="s">
        <v>222</v>
      </c>
      <c r="B178" s="20" t="s">
        <v>50</v>
      </c>
      <c r="C178" s="20" t="s">
        <v>13</v>
      </c>
      <c r="D178" s="20" t="str">
        <f>_xlfn.XLOOKUP(A178,'[1]By Project'!$B:$B,'[1]By Project'!$C:$C,0)</f>
        <v>Ignore for now</v>
      </c>
    </row>
    <row r="179" spans="1:4">
      <c r="A179" s="20" t="s">
        <v>223</v>
      </c>
      <c r="B179" s="20" t="s">
        <v>21</v>
      </c>
      <c r="C179" s="20" t="s">
        <v>13</v>
      </c>
      <c r="D179" s="20" t="str">
        <f>_xlfn.XLOOKUP(A179,'[1]By Project'!$B:$B,'[1]By Project'!$C:$C,0)</f>
        <v>Ignore for now</v>
      </c>
    </row>
    <row r="180" spans="1:4" hidden="1">
      <c r="A180" s="20" t="s">
        <v>224</v>
      </c>
      <c r="B180" s="20" t="s">
        <v>90</v>
      </c>
      <c r="C180" s="20" t="s">
        <v>6</v>
      </c>
      <c r="D180" s="20" t="str">
        <f>_xlfn.XLOOKUP(A180,'[1]By Project'!$B:$B,'[1]By Project'!$C:$C,0)</f>
        <v>Ignore for now</v>
      </c>
    </row>
    <row r="181" spans="1:4">
      <c r="A181" s="20" t="s">
        <v>225</v>
      </c>
      <c r="B181" s="20" t="s">
        <v>48</v>
      </c>
      <c r="C181" s="20" t="s">
        <v>13</v>
      </c>
      <c r="D181" s="20" t="str">
        <f>_xlfn.XLOOKUP(A181,'[1]By Project'!$B:$B,'[1]By Project'!$C:$C,0)</f>
        <v>Ignore for now</v>
      </c>
    </row>
    <row r="182" spans="1:4">
      <c r="A182" s="20" t="s">
        <v>226</v>
      </c>
      <c r="B182" s="20" t="s">
        <v>5</v>
      </c>
      <c r="C182" s="20" t="s">
        <v>13</v>
      </c>
      <c r="D182" s="20" t="str">
        <f>_xlfn.XLOOKUP(A182,'[1]By Project'!$B:$B,'[1]By Project'!$C:$C,0)</f>
        <v>Ignore for now</v>
      </c>
    </row>
    <row r="183" spans="1:4">
      <c r="A183" s="20" t="s">
        <v>227</v>
      </c>
      <c r="B183" s="20" t="s">
        <v>15</v>
      </c>
      <c r="C183" s="20" t="s">
        <v>13</v>
      </c>
      <c r="D183" s="20" t="str">
        <f>_xlfn.XLOOKUP(A183,'[1]By Project'!$B:$B,'[1]By Project'!$C:$C,0)</f>
        <v>Legacy projects</v>
      </c>
    </row>
    <row r="184" spans="1:4">
      <c r="A184" s="20" t="s">
        <v>228</v>
      </c>
      <c r="B184" s="20" t="s">
        <v>15</v>
      </c>
      <c r="C184" s="20" t="s">
        <v>13</v>
      </c>
      <c r="D184" s="20" t="str">
        <f>_xlfn.XLOOKUP(A184,'[1]By Project'!$B:$B,'[1]By Project'!$C:$C,0)</f>
        <v>Ignore for now</v>
      </c>
    </row>
    <row r="185" spans="1:4" hidden="1">
      <c r="A185" s="20" t="s">
        <v>229</v>
      </c>
      <c r="B185" s="20" t="s">
        <v>123</v>
      </c>
      <c r="C185" s="20" t="s">
        <v>19</v>
      </c>
      <c r="D185" s="20" t="str">
        <f>_xlfn.XLOOKUP(A185,'[1]By Project'!$B:$B,'[1]By Project'!$C:$C,0)</f>
        <v>Ignore for now</v>
      </c>
    </row>
    <row r="186" spans="1:4">
      <c r="A186" s="20" t="s">
        <v>230</v>
      </c>
      <c r="B186" s="20" t="s">
        <v>85</v>
      </c>
      <c r="C186" s="20" t="s">
        <v>13</v>
      </c>
      <c r="D186" s="20" t="str">
        <f>_xlfn.XLOOKUP(A186,'[1]By Project'!$B:$B,'[1]By Project'!$C:$C,0)</f>
        <v>Ignore for now</v>
      </c>
    </row>
    <row r="187" spans="1:4">
      <c r="A187" s="20" t="s">
        <v>231</v>
      </c>
      <c r="B187" s="20" t="s">
        <v>65</v>
      </c>
      <c r="C187" s="20" t="s">
        <v>13</v>
      </c>
      <c r="D187" s="20" t="str">
        <f>_xlfn.XLOOKUP(A187,'[1]By Project'!$B:$B,'[1]By Project'!$C:$C,0)</f>
        <v>Ignore for now</v>
      </c>
    </row>
    <row r="188" spans="1:4" hidden="1">
      <c r="A188" s="20" t="s">
        <v>232</v>
      </c>
      <c r="B188" s="20" t="s">
        <v>8</v>
      </c>
      <c r="C188" s="20" t="s">
        <v>8</v>
      </c>
      <c r="D188" s="20" t="str">
        <f>_xlfn.XLOOKUP(A188,'[1]By Project'!$B:$B,'[1]By Project'!$C:$C,0)</f>
        <v>Ignore for now</v>
      </c>
    </row>
    <row r="189" spans="1:4">
      <c r="A189" s="20" t="s">
        <v>233</v>
      </c>
      <c r="B189" s="20" t="s">
        <v>31</v>
      </c>
      <c r="C189" s="20" t="s">
        <v>13</v>
      </c>
      <c r="D189" s="20" t="str">
        <f>_xlfn.XLOOKUP(A189,'[1]By Project'!$B:$B,'[1]By Project'!$C:$C,0)</f>
        <v>Strategy and Growth</v>
      </c>
    </row>
    <row r="190" spans="1:4">
      <c r="A190" s="20" t="s">
        <v>234</v>
      </c>
      <c r="B190" s="20" t="s">
        <v>21</v>
      </c>
      <c r="C190" s="20" t="s">
        <v>13</v>
      </c>
      <c r="D190" s="20" t="str">
        <f>_xlfn.XLOOKUP(A190,'[1]By Project'!$B:$B,'[1]By Project'!$C:$C,0)</f>
        <v>Legacy projects</v>
      </c>
    </row>
    <row r="191" spans="1:4" hidden="1">
      <c r="A191" s="20" t="s">
        <v>235</v>
      </c>
      <c r="B191" s="20" t="s">
        <v>8</v>
      </c>
      <c r="C191" s="20" t="s">
        <v>8</v>
      </c>
      <c r="D191" s="20" t="str">
        <f>_xlfn.XLOOKUP(A191,'[1]By Project'!$B:$B,'[1]By Project'!$C:$C,0)</f>
        <v>Legacy projects</v>
      </c>
    </row>
    <row r="192" spans="1:4" hidden="1">
      <c r="A192" s="20" t="s">
        <v>236</v>
      </c>
      <c r="B192" s="20" t="s">
        <v>21</v>
      </c>
      <c r="C192" s="20" t="s">
        <v>10</v>
      </c>
      <c r="D192" s="20" t="str">
        <f>_xlfn.XLOOKUP(A192,'[1]By Project'!$B:$B,'[1]By Project'!$C:$C,0)</f>
        <v>Ignore for now</v>
      </c>
    </row>
    <row r="193" spans="1:4" hidden="1">
      <c r="A193" s="20" t="s">
        <v>237</v>
      </c>
      <c r="B193" s="20" t="s">
        <v>15</v>
      </c>
      <c r="C193" s="20" t="s">
        <v>23</v>
      </c>
      <c r="D193" s="20" t="str">
        <f>_xlfn.XLOOKUP(A193,'[1]By Project'!$B:$B,'[1]By Project'!$C:$C,0)</f>
        <v>Ignore for now</v>
      </c>
    </row>
    <row r="194" spans="1:4">
      <c r="A194" s="20" t="s">
        <v>238</v>
      </c>
      <c r="B194" s="20" t="s">
        <v>65</v>
      </c>
      <c r="C194" s="20" t="s">
        <v>13</v>
      </c>
      <c r="D194" s="20" t="str">
        <f>_xlfn.XLOOKUP(A194,'[1]By Project'!$B:$B,'[1]By Project'!$C:$C,0)</f>
        <v>Ignore for now</v>
      </c>
    </row>
    <row r="195" spans="1:4" hidden="1">
      <c r="A195" s="20" t="s">
        <v>239</v>
      </c>
      <c r="B195" s="20" t="s">
        <v>48</v>
      </c>
      <c r="C195" s="20" t="s">
        <v>10</v>
      </c>
      <c r="D195" s="20" t="str">
        <f>_xlfn.XLOOKUP(A195,'[1]By Project'!$B:$B,'[1]By Project'!$C:$C,0)</f>
        <v>Ignore for now</v>
      </c>
    </row>
    <row r="196" spans="1:4" hidden="1">
      <c r="A196" s="20" t="s">
        <v>240</v>
      </c>
      <c r="B196" s="20" t="s">
        <v>27</v>
      </c>
      <c r="C196" s="20" t="s">
        <v>10</v>
      </c>
      <c r="D196" s="20" t="str">
        <f>_xlfn.XLOOKUP(A196,'[1]By Project'!$B:$B,'[1]By Project'!$C:$C,0)</f>
        <v>Digital Transformation</v>
      </c>
    </row>
    <row r="197" spans="1:4">
      <c r="A197" s="20" t="s">
        <v>241</v>
      </c>
      <c r="B197" s="20" t="s">
        <v>65</v>
      </c>
      <c r="C197" s="20" t="s">
        <v>13</v>
      </c>
      <c r="D197" s="20" t="str">
        <f>_xlfn.XLOOKUP(A197,'[1]By Project'!$B:$B,'[1]By Project'!$C:$C,0)</f>
        <v>Legacy projects</v>
      </c>
    </row>
    <row r="198" spans="1:4">
      <c r="A198" s="20" t="s">
        <v>242</v>
      </c>
      <c r="B198" s="20" t="s">
        <v>45</v>
      </c>
      <c r="C198" s="20" t="s">
        <v>13</v>
      </c>
      <c r="D198" s="20" t="str">
        <f>_xlfn.XLOOKUP(A198,'[1]By Project'!$B:$B,'[1]By Project'!$C:$C,0)</f>
        <v>Legacy projects</v>
      </c>
    </row>
    <row r="199" spans="1:4" hidden="1">
      <c r="A199" s="20" t="s">
        <v>243</v>
      </c>
      <c r="B199" s="20" t="s">
        <v>96</v>
      </c>
      <c r="C199" s="20" t="s">
        <v>6</v>
      </c>
      <c r="D199" s="20" t="str">
        <f>_xlfn.XLOOKUP(A199,'[1]By Project'!$B:$B,'[1]By Project'!$C:$C,0)</f>
        <v>Legacy projects</v>
      </c>
    </row>
    <row r="200" spans="1:4" hidden="1">
      <c r="A200" s="20" t="s">
        <v>244</v>
      </c>
      <c r="B200" s="20" t="s">
        <v>50</v>
      </c>
      <c r="C200" s="20" t="s">
        <v>6</v>
      </c>
      <c r="D200" s="20" t="str">
        <f>_xlfn.XLOOKUP(A200,'[1]By Project'!$B:$B,'[1]By Project'!$C:$C,0)</f>
        <v>Legacy projects</v>
      </c>
    </row>
    <row r="201" spans="1:4">
      <c r="A201" s="20" t="s">
        <v>245</v>
      </c>
      <c r="B201" s="20" t="s">
        <v>78</v>
      </c>
      <c r="C201" s="20" t="s">
        <v>13</v>
      </c>
      <c r="D201" s="20" t="str">
        <f>_xlfn.XLOOKUP(A201,'[1]By Project'!$B:$B,'[1]By Project'!$C:$C,0)</f>
        <v>Ignore for now</v>
      </c>
    </row>
    <row r="202" spans="1:4" hidden="1">
      <c r="A202" s="20" t="s">
        <v>246</v>
      </c>
      <c r="B202" s="20" t="s">
        <v>8</v>
      </c>
      <c r="C202" s="20" t="s">
        <v>8</v>
      </c>
      <c r="D202" s="20" t="str">
        <f>_xlfn.XLOOKUP(A202,'[1]By Project'!$B:$B,'[1]By Project'!$C:$C,0)</f>
        <v>Strategic Finance Transformation</v>
      </c>
    </row>
    <row r="203" spans="1:4">
      <c r="A203" s="20" t="s">
        <v>247</v>
      </c>
      <c r="B203" s="20" t="s">
        <v>48</v>
      </c>
      <c r="C203" s="20" t="s">
        <v>13</v>
      </c>
      <c r="D203" s="20" t="str">
        <f>_xlfn.XLOOKUP(A203,'[1]By Project'!$B:$B,'[1]By Project'!$C:$C,0)</f>
        <v>Ignore for now</v>
      </c>
    </row>
    <row r="204" spans="1:4" hidden="1">
      <c r="A204" s="20" t="s">
        <v>248</v>
      </c>
      <c r="B204" s="20" t="s">
        <v>90</v>
      </c>
      <c r="C204" s="20" t="s">
        <v>6</v>
      </c>
      <c r="D204" s="20" t="str">
        <f>_xlfn.XLOOKUP(A204,'[1]By Project'!$B:$B,'[1]By Project'!$C:$C,0)</f>
        <v>Ignore for now</v>
      </c>
    </row>
    <row r="205" spans="1:4" hidden="1">
      <c r="A205" s="20" t="s">
        <v>249</v>
      </c>
      <c r="B205" s="20" t="s">
        <v>15</v>
      </c>
      <c r="C205" s="20" t="s">
        <v>23</v>
      </c>
      <c r="D205" s="20" t="str">
        <f>_xlfn.XLOOKUP(A205,'[1]By Project'!$B:$B,'[1]By Project'!$C:$C,0)</f>
        <v>Legacy projects</v>
      </c>
    </row>
    <row r="206" spans="1:4">
      <c r="A206" s="20" t="s">
        <v>250</v>
      </c>
      <c r="B206" s="20" t="s">
        <v>5</v>
      </c>
      <c r="C206" s="20" t="s">
        <v>13</v>
      </c>
      <c r="D206" s="20" t="str">
        <f>_xlfn.XLOOKUP(A206,'[1]By Project'!$B:$B,'[1]By Project'!$C:$C,0)</f>
        <v>Strategic Finance Transformation</v>
      </c>
    </row>
    <row r="207" spans="1:4" hidden="1">
      <c r="A207" s="20" t="s">
        <v>251</v>
      </c>
      <c r="B207" s="20" t="s">
        <v>60</v>
      </c>
      <c r="C207" s="20" t="s">
        <v>8</v>
      </c>
      <c r="D207" s="20" t="str">
        <f>_xlfn.XLOOKUP(A207,'[1]By Project'!$B:$B,'[1]By Project'!$C:$C,0)</f>
        <v>Ignore for now</v>
      </c>
    </row>
    <row r="208" spans="1:4">
      <c r="A208" s="20" t="s">
        <v>252</v>
      </c>
      <c r="B208" s="20" t="s">
        <v>48</v>
      </c>
      <c r="C208" s="20" t="s">
        <v>13</v>
      </c>
      <c r="D208" s="20" t="str">
        <f>_xlfn.XLOOKUP(A208,'[1]By Project'!$B:$B,'[1]By Project'!$C:$C,0)</f>
        <v>Legacy projects</v>
      </c>
    </row>
    <row r="209" spans="1:4" hidden="1">
      <c r="A209" s="20" t="s">
        <v>253</v>
      </c>
      <c r="B209" s="20" t="s">
        <v>21</v>
      </c>
      <c r="C209" s="20" t="s">
        <v>10</v>
      </c>
      <c r="D209" s="20" t="str">
        <f>_xlfn.XLOOKUP(A209,'[1]By Project'!$B:$B,'[1]By Project'!$C:$C,0)</f>
        <v>Ignore for now</v>
      </c>
    </row>
    <row r="210" spans="1:4">
      <c r="A210" s="20" t="s">
        <v>254</v>
      </c>
      <c r="B210" s="20" t="s">
        <v>5</v>
      </c>
      <c r="C210" s="20" t="s">
        <v>13</v>
      </c>
      <c r="D210" s="20" t="str">
        <f>_xlfn.XLOOKUP(A210,'[1]By Project'!$B:$B,'[1]By Project'!$C:$C,0)</f>
        <v>Ignore for now</v>
      </c>
    </row>
    <row r="211" spans="1:4">
      <c r="A211" s="20" t="s">
        <v>255</v>
      </c>
      <c r="B211" s="20" t="s">
        <v>31</v>
      </c>
      <c r="C211" s="20" t="s">
        <v>13</v>
      </c>
      <c r="D211" s="20" t="str">
        <f>_xlfn.XLOOKUP(A211,'[1]By Project'!$B:$B,'[1]By Project'!$C:$C,0)</f>
        <v>Analytics as a Service</v>
      </c>
    </row>
    <row r="212" spans="1:4">
      <c r="A212" s="20" t="s">
        <v>256</v>
      </c>
      <c r="B212" s="20" t="s">
        <v>18</v>
      </c>
      <c r="C212" s="20" t="s">
        <v>13</v>
      </c>
      <c r="D212" s="20" t="str">
        <f>_xlfn.XLOOKUP(A212,'[1]By Project'!$B:$B,'[1]By Project'!$C:$C,0)</f>
        <v>Ignore for now</v>
      </c>
    </row>
    <row r="213" spans="1:4">
      <c r="A213" s="20" t="s">
        <v>257</v>
      </c>
      <c r="B213" s="20" t="s">
        <v>48</v>
      </c>
      <c r="C213" s="20" t="s">
        <v>13</v>
      </c>
      <c r="D213" s="20" t="str">
        <f>_xlfn.XLOOKUP(A213,'[1]By Project'!$B:$B,'[1]By Project'!$C:$C,0)</f>
        <v>Legacy projects</v>
      </c>
    </row>
    <row r="214" spans="1:4">
      <c r="A214" s="20" t="s">
        <v>258</v>
      </c>
      <c r="B214" s="20" t="s">
        <v>74</v>
      </c>
      <c r="C214" s="20" t="s">
        <v>13</v>
      </c>
      <c r="D214" s="20" t="str">
        <f>_xlfn.XLOOKUP(A214,'[1]By Project'!$B:$B,'[1]By Project'!$C:$C,0)</f>
        <v>Ignore for now</v>
      </c>
    </row>
    <row r="215" spans="1:4" hidden="1">
      <c r="A215" s="20" t="s">
        <v>259</v>
      </c>
      <c r="B215" s="20" t="s">
        <v>21</v>
      </c>
      <c r="C215" s="20" t="s">
        <v>19</v>
      </c>
      <c r="D215" s="20" t="str">
        <f>_xlfn.XLOOKUP(A215,'[1]By Project'!$B:$B,'[1]By Project'!$C:$C,0)</f>
        <v>Legacy projects</v>
      </c>
    </row>
    <row r="216" spans="1:4">
      <c r="A216" s="20" t="s">
        <v>260</v>
      </c>
      <c r="B216" s="20" t="s">
        <v>18</v>
      </c>
      <c r="C216" s="20" t="s">
        <v>13</v>
      </c>
      <c r="D216" s="20" t="str">
        <f>_xlfn.XLOOKUP(A216,'[1]By Project'!$B:$B,'[1]By Project'!$C:$C,0)</f>
        <v>Ignore for now</v>
      </c>
    </row>
    <row r="217" spans="1:4">
      <c r="A217" s="20" t="s">
        <v>261</v>
      </c>
      <c r="B217" s="20" t="s">
        <v>21</v>
      </c>
      <c r="C217" s="20" t="s">
        <v>13</v>
      </c>
      <c r="D217" s="20" t="str">
        <f>_xlfn.XLOOKUP(A217,'[1]By Project'!$B:$B,'[1]By Project'!$C:$C,0)</f>
        <v>Legacy projects</v>
      </c>
    </row>
    <row r="218" spans="1:4" hidden="1">
      <c r="A218" s="20" t="s">
        <v>262</v>
      </c>
      <c r="B218" s="20" t="s">
        <v>33</v>
      </c>
      <c r="C218" s="20" t="s">
        <v>263</v>
      </c>
      <c r="D218" s="20" t="str">
        <f>_xlfn.XLOOKUP(A218,'[1]By Project'!$B:$B,'[1]By Project'!$C:$C,0)</f>
        <v>Legacy projects</v>
      </c>
    </row>
    <row r="219" spans="1:4" hidden="1">
      <c r="A219" s="20" t="s">
        <v>264</v>
      </c>
      <c r="B219" s="20" t="s">
        <v>105</v>
      </c>
      <c r="C219" s="20" t="s">
        <v>10</v>
      </c>
      <c r="D219" s="20" t="str">
        <f>_xlfn.XLOOKUP(A219,'[1]By Project'!$B:$B,'[1]By Project'!$C:$C,0)</f>
        <v>Ignore for now</v>
      </c>
    </row>
    <row r="220" spans="1:4">
      <c r="A220" s="20" t="s">
        <v>265</v>
      </c>
      <c r="B220" s="20" t="s">
        <v>50</v>
      </c>
      <c r="C220" s="20" t="s">
        <v>13</v>
      </c>
      <c r="D220" s="20" t="str">
        <f>_xlfn.XLOOKUP(A220,'[1]By Project'!$B:$B,'[1]By Project'!$C:$C,0)</f>
        <v>Ignore for now</v>
      </c>
    </row>
    <row r="221" spans="1:4">
      <c r="A221" s="20" t="s">
        <v>266</v>
      </c>
      <c r="B221" s="20" t="s">
        <v>18</v>
      </c>
      <c r="C221" s="20" t="s">
        <v>13</v>
      </c>
      <c r="D221" s="20" t="str">
        <f>_xlfn.XLOOKUP(A221,'[1]By Project'!$B:$B,'[1]By Project'!$C:$C,0)</f>
        <v>Ignore for now</v>
      </c>
    </row>
    <row r="222" spans="1:4" hidden="1">
      <c r="A222" s="20" t="s">
        <v>267</v>
      </c>
      <c r="B222" s="20" t="s">
        <v>5</v>
      </c>
      <c r="C222" s="20" t="s">
        <v>23</v>
      </c>
      <c r="D222" s="20" t="str">
        <f>_xlfn.XLOOKUP(A222,'[1]By Project'!$B:$B,'[1]By Project'!$C:$C,0)</f>
        <v>Ignore for now</v>
      </c>
    </row>
    <row r="223" spans="1:4" hidden="1">
      <c r="A223" s="20" t="s">
        <v>268</v>
      </c>
      <c r="B223" s="20" t="s">
        <v>96</v>
      </c>
      <c r="C223" s="20" t="s">
        <v>10</v>
      </c>
      <c r="D223" s="20" t="str">
        <f>_xlfn.XLOOKUP(A223,'[1]By Project'!$B:$B,'[1]By Project'!$C:$C,0)</f>
        <v>Ignore for now</v>
      </c>
    </row>
    <row r="224" spans="1:4" hidden="1">
      <c r="A224" s="20" t="s">
        <v>269</v>
      </c>
      <c r="B224" s="20" t="s">
        <v>43</v>
      </c>
      <c r="C224" s="20" t="s">
        <v>10</v>
      </c>
      <c r="D224" s="20" t="str">
        <f>_xlfn.XLOOKUP(A224,'[1]By Project'!$B:$B,'[1]By Project'!$C:$C,0)</f>
        <v>Operations Transformation</v>
      </c>
    </row>
    <row r="225" spans="1:4">
      <c r="A225" s="20" t="s">
        <v>270</v>
      </c>
      <c r="B225" s="20" t="s">
        <v>31</v>
      </c>
      <c r="C225" s="20" t="s">
        <v>13</v>
      </c>
      <c r="D225" s="20" t="str">
        <f>_xlfn.XLOOKUP(A225,'[1]By Project'!$B:$B,'[1]By Project'!$C:$C,0)</f>
        <v>Legacy projects</v>
      </c>
    </row>
    <row r="226" spans="1:4">
      <c r="A226" s="20" t="s">
        <v>271</v>
      </c>
      <c r="B226" s="20" t="s">
        <v>45</v>
      </c>
      <c r="C226" s="20" t="s">
        <v>13</v>
      </c>
      <c r="D226" s="20" t="str">
        <f>_xlfn.XLOOKUP(A226,'[1]By Project'!$B:$B,'[1]By Project'!$C:$C,0)</f>
        <v>Legacy projects</v>
      </c>
    </row>
    <row r="227" spans="1:4" hidden="1">
      <c r="A227" s="20" t="s">
        <v>272</v>
      </c>
      <c r="B227" s="20" t="s">
        <v>50</v>
      </c>
      <c r="C227" s="20" t="s">
        <v>19</v>
      </c>
      <c r="D227" s="20" t="str">
        <f>_xlfn.XLOOKUP(A227,'[1]By Project'!$B:$B,'[1]By Project'!$C:$C,0)</f>
        <v>Ignore for now</v>
      </c>
    </row>
    <row r="228" spans="1:4">
      <c r="A228" s="20" t="s">
        <v>273</v>
      </c>
      <c r="B228" s="20" t="s">
        <v>8</v>
      </c>
      <c r="C228" s="20" t="s">
        <v>13</v>
      </c>
      <c r="D228" s="20" t="str">
        <f>_xlfn.XLOOKUP(A228,'[1]By Project'!$B:$B,'[1]By Project'!$C:$C,0)</f>
        <v>Ignore for now</v>
      </c>
    </row>
    <row r="229" spans="1:4" hidden="1">
      <c r="A229" s="20" t="s">
        <v>274</v>
      </c>
      <c r="B229" s="20" t="s">
        <v>217</v>
      </c>
      <c r="C229" s="20" t="s">
        <v>6</v>
      </c>
      <c r="D229" s="20" t="str">
        <f>_xlfn.XLOOKUP(A229,'[1]By Project'!$B:$B,'[1]By Project'!$C:$C,0)</f>
        <v>Ignore for now</v>
      </c>
    </row>
    <row r="230" spans="1:4" hidden="1">
      <c r="A230" s="20" t="s">
        <v>275</v>
      </c>
      <c r="B230" s="20" t="s">
        <v>123</v>
      </c>
      <c r="C230" s="20" t="s">
        <v>10</v>
      </c>
      <c r="D230" s="20" t="str">
        <f>_xlfn.XLOOKUP(A230,'[1]By Project'!$B:$B,'[1]By Project'!$C:$C,0)</f>
        <v>Ignore for now</v>
      </c>
    </row>
    <row r="231" spans="1:4" hidden="1">
      <c r="A231" s="20" t="s">
        <v>276</v>
      </c>
      <c r="B231" s="20" t="s">
        <v>96</v>
      </c>
      <c r="C231" s="20" t="s">
        <v>6</v>
      </c>
      <c r="D231" s="20" t="str">
        <f>_xlfn.XLOOKUP(A231,'[1]By Project'!$B:$B,'[1]By Project'!$C:$C,0)</f>
        <v>Strategic Finance Transformation</v>
      </c>
    </row>
    <row r="232" spans="1:4">
      <c r="A232" s="20" t="s">
        <v>277</v>
      </c>
      <c r="B232" s="20" t="s">
        <v>31</v>
      </c>
      <c r="C232" s="20" t="s">
        <v>13</v>
      </c>
      <c r="D232" s="20" t="str">
        <f>_xlfn.XLOOKUP(A232,'[1]By Project'!$B:$B,'[1]By Project'!$C:$C,0)</f>
        <v>Ignore for now</v>
      </c>
    </row>
    <row r="233" spans="1:4" hidden="1">
      <c r="A233" s="20" t="s">
        <v>278</v>
      </c>
      <c r="B233" s="20" t="s">
        <v>5</v>
      </c>
      <c r="C233" s="20" t="s">
        <v>10</v>
      </c>
      <c r="D233" s="20" t="str">
        <f>_xlfn.XLOOKUP(A233,'[1]By Project'!$B:$B,'[1]By Project'!$C:$C,0)</f>
        <v>Post Merger Integration</v>
      </c>
    </row>
    <row r="234" spans="1:4" hidden="1">
      <c r="A234" s="20" t="s">
        <v>279</v>
      </c>
      <c r="B234" s="20" t="s">
        <v>45</v>
      </c>
      <c r="C234" s="20" t="s">
        <v>19</v>
      </c>
      <c r="D234" s="20" t="str">
        <f>_xlfn.XLOOKUP(A234,'[1]By Project'!$B:$B,'[1]By Project'!$C:$C,0)</f>
        <v>Ignore for now</v>
      </c>
    </row>
    <row r="235" spans="1:4">
      <c r="A235" s="20" t="s">
        <v>280</v>
      </c>
      <c r="B235" s="20" t="s">
        <v>48</v>
      </c>
      <c r="C235" s="20" t="s">
        <v>13</v>
      </c>
      <c r="D235" s="20" t="str">
        <f>_xlfn.XLOOKUP(A235,'[1]By Project'!$B:$B,'[1]By Project'!$C:$C,0)</f>
        <v>Legacy projects</v>
      </c>
    </row>
    <row r="236" spans="1:4">
      <c r="A236" s="20" t="s">
        <v>281</v>
      </c>
      <c r="B236" s="20" t="s">
        <v>8</v>
      </c>
      <c r="C236" s="20" t="s">
        <v>13</v>
      </c>
      <c r="D236" s="20" t="str">
        <f>_xlfn.XLOOKUP(A236,'[1]By Project'!$B:$B,'[1]By Project'!$C:$C,0)</f>
        <v>Legacy projects</v>
      </c>
    </row>
    <row r="237" spans="1:4">
      <c r="A237" s="20" t="s">
        <v>282</v>
      </c>
      <c r="B237" s="20" t="s">
        <v>50</v>
      </c>
      <c r="C237" s="20" t="s">
        <v>13</v>
      </c>
      <c r="D237" s="20" t="str">
        <f>_xlfn.XLOOKUP(A237,'[1]By Project'!$B:$B,'[1]By Project'!$C:$C,0)</f>
        <v>Ignore for now</v>
      </c>
    </row>
    <row r="238" spans="1:4">
      <c r="A238" s="20" t="s">
        <v>283</v>
      </c>
      <c r="B238" s="20" t="s">
        <v>48</v>
      </c>
      <c r="C238" s="20" t="s">
        <v>13</v>
      </c>
      <c r="D238" s="20" t="str">
        <f>_xlfn.XLOOKUP(A238,'[1]By Project'!$B:$B,'[1]By Project'!$C:$C,0)</f>
        <v>Ignore for now</v>
      </c>
    </row>
    <row r="239" spans="1:4" hidden="1">
      <c r="A239" s="20" t="s">
        <v>284</v>
      </c>
      <c r="B239" s="20" t="s">
        <v>8</v>
      </c>
      <c r="C239" s="20" t="s">
        <v>8</v>
      </c>
      <c r="D239" s="20" t="str">
        <f>_xlfn.XLOOKUP(A239,'[1]By Project'!$B:$B,'[1]By Project'!$C:$C,0)</f>
        <v>Ignore for now</v>
      </c>
    </row>
    <row r="240" spans="1:4" hidden="1">
      <c r="A240" s="20" t="s">
        <v>285</v>
      </c>
      <c r="B240" s="20" t="s">
        <v>8</v>
      </c>
      <c r="C240" s="20" t="s">
        <v>8</v>
      </c>
      <c r="D240" s="20" t="str">
        <f>_xlfn.XLOOKUP(A240,'[1]By Project'!$B:$B,'[1]By Project'!$C:$C,0)</f>
        <v>Ignore for now</v>
      </c>
    </row>
    <row r="241" spans="1:4">
      <c r="A241" s="20" t="s">
        <v>286</v>
      </c>
      <c r="B241" s="20" t="s">
        <v>45</v>
      </c>
      <c r="C241" s="20" t="s">
        <v>158</v>
      </c>
      <c r="D241" s="20" t="s">
        <v>287</v>
      </c>
    </row>
    <row r="242" spans="1:4">
      <c r="A242" s="20" t="s">
        <v>288</v>
      </c>
      <c r="B242" s="20" t="s">
        <v>25</v>
      </c>
      <c r="C242" s="20" t="s">
        <v>13</v>
      </c>
      <c r="D242" s="20" t="str">
        <f>_xlfn.XLOOKUP(A242,'[1]By Project'!$B:$B,'[1]By Project'!$C:$C,0)</f>
        <v>Ignore for now</v>
      </c>
    </row>
    <row r="243" spans="1:4" hidden="1">
      <c r="A243" s="20" t="s">
        <v>289</v>
      </c>
      <c r="B243" s="20" t="s">
        <v>15</v>
      </c>
      <c r="C243" s="20" t="s">
        <v>19</v>
      </c>
      <c r="D243" s="20" t="str">
        <f>_xlfn.XLOOKUP(A243,'[1]By Project'!$B:$B,'[1]By Project'!$C:$C,0)</f>
        <v>Legacy projects</v>
      </c>
    </row>
    <row r="244" spans="1:4" hidden="1">
      <c r="A244" s="20" t="s">
        <v>290</v>
      </c>
      <c r="B244" s="20" t="s">
        <v>48</v>
      </c>
      <c r="C244" s="20" t="s">
        <v>19</v>
      </c>
      <c r="D244" s="20" t="str">
        <f>_xlfn.XLOOKUP(A244,'[1]By Project'!$B:$B,'[1]By Project'!$C:$C,0)</f>
        <v>Strategic Finance Transformation</v>
      </c>
    </row>
    <row r="245" spans="1:4">
      <c r="A245" s="20" t="s">
        <v>291</v>
      </c>
      <c r="B245" s="20" t="s">
        <v>33</v>
      </c>
      <c r="C245" s="20" t="s">
        <v>13</v>
      </c>
      <c r="D245" s="20" t="str">
        <f>_xlfn.XLOOKUP(A245,'[1]By Project'!$B:$B,'[1]By Project'!$C:$C,0)</f>
        <v>Strategy and Growth</v>
      </c>
    </row>
    <row r="246" spans="1:4" hidden="1">
      <c r="A246" s="20" t="s">
        <v>292</v>
      </c>
      <c r="B246" s="20" t="s">
        <v>8</v>
      </c>
      <c r="C246" s="20" t="s">
        <v>8</v>
      </c>
      <c r="D246" s="20" t="str">
        <f>_xlfn.XLOOKUP(A246,'[1]By Project'!$B:$B,'[1]By Project'!$C:$C,0)</f>
        <v>Ignore for now</v>
      </c>
    </row>
    <row r="247" spans="1:4">
      <c r="A247" s="20" t="s">
        <v>293</v>
      </c>
      <c r="B247" s="20" t="s">
        <v>50</v>
      </c>
      <c r="C247" s="20" t="s">
        <v>13</v>
      </c>
      <c r="D247" s="20" t="str">
        <f>_xlfn.XLOOKUP(A247,'[1]By Project'!$B:$B,'[1]By Project'!$C:$C,0)</f>
        <v>Ignore for now</v>
      </c>
    </row>
    <row r="248" spans="1:4" hidden="1">
      <c r="A248" s="20" t="s">
        <v>294</v>
      </c>
      <c r="B248" s="20" t="s">
        <v>15</v>
      </c>
      <c r="C248" s="20" t="s">
        <v>23</v>
      </c>
      <c r="D248" s="20" t="str">
        <f>_xlfn.XLOOKUP(A248,'[1]By Project'!$B:$B,'[1]By Project'!$C:$C,0)</f>
        <v>Ignore for now</v>
      </c>
    </row>
    <row r="249" spans="1:4">
      <c r="A249" s="20" t="s">
        <v>295</v>
      </c>
      <c r="B249" s="20" t="s">
        <v>5</v>
      </c>
      <c r="C249" s="20" t="s">
        <v>13</v>
      </c>
      <c r="D249" s="20" t="str">
        <f>_xlfn.XLOOKUP(A249,'[1]By Project'!$B:$B,'[1]By Project'!$C:$C,0)</f>
        <v>Legacy projects</v>
      </c>
    </row>
    <row r="250" spans="1:4" hidden="1">
      <c r="A250" s="20" t="s">
        <v>296</v>
      </c>
      <c r="B250" s="20" t="s">
        <v>50</v>
      </c>
      <c r="C250" s="20" t="s">
        <v>6</v>
      </c>
      <c r="D250" s="20" t="str">
        <f>_xlfn.XLOOKUP(A250,'[1]By Project'!$B:$B,'[1]By Project'!$C:$C,0)</f>
        <v>Strategic Finance Transformation</v>
      </c>
    </row>
    <row r="251" spans="1:4" hidden="1">
      <c r="A251" s="20" t="s">
        <v>297</v>
      </c>
      <c r="B251" s="20" t="s">
        <v>8</v>
      </c>
      <c r="C251" s="20" t="s">
        <v>8</v>
      </c>
      <c r="D251" s="20" t="str">
        <f>_xlfn.XLOOKUP(A251,'[1]By Project'!$B:$B,'[1]By Project'!$C:$C,0)</f>
        <v>Strategic Finance Transformation</v>
      </c>
    </row>
    <row r="252" spans="1:4">
      <c r="A252" s="20" t="s">
        <v>298</v>
      </c>
      <c r="B252" s="20" t="s">
        <v>15</v>
      </c>
      <c r="C252" s="20" t="s">
        <v>13</v>
      </c>
      <c r="D252" s="20" t="str">
        <f>_xlfn.XLOOKUP(A252,'[1]By Project'!$B:$B,'[1]By Project'!$C:$C,0)</f>
        <v>Strategy and Growth</v>
      </c>
    </row>
    <row r="253" spans="1:4">
      <c r="A253" s="20" t="s">
        <v>299</v>
      </c>
      <c r="B253" s="20" t="s">
        <v>15</v>
      </c>
      <c r="C253" s="20" t="s">
        <v>13</v>
      </c>
      <c r="D253" s="20" t="str">
        <f>_xlfn.XLOOKUP(A253,'[1]By Project'!$B:$B,'[1]By Project'!$C:$C,0)</f>
        <v>Strategic Finance Transformation</v>
      </c>
    </row>
    <row r="254" spans="1:4" hidden="1">
      <c r="A254" s="20" t="s">
        <v>300</v>
      </c>
      <c r="B254" s="20" t="s">
        <v>48</v>
      </c>
      <c r="C254" s="20" t="s">
        <v>19</v>
      </c>
      <c r="D254" s="20" t="str">
        <f>_xlfn.XLOOKUP(A254,'[1]By Project'!$B:$B,'[1]By Project'!$C:$C,0)</f>
        <v>Strategic Finance Transformation</v>
      </c>
    </row>
    <row r="255" spans="1:4">
      <c r="A255" s="20" t="s">
        <v>301</v>
      </c>
      <c r="B255" s="20" t="s">
        <v>50</v>
      </c>
      <c r="C255" s="20" t="s">
        <v>13</v>
      </c>
      <c r="D255" s="20" t="str">
        <f>_xlfn.XLOOKUP(A255,'[1]By Project'!$B:$B,'[1]By Project'!$C:$C,0)</f>
        <v>Strategy and Growth</v>
      </c>
    </row>
    <row r="256" spans="1:4" hidden="1">
      <c r="A256" s="20" t="s">
        <v>302</v>
      </c>
      <c r="B256" s="20" t="s">
        <v>8</v>
      </c>
      <c r="C256" s="20" t="s">
        <v>8</v>
      </c>
      <c r="D256" s="20" t="str">
        <f>_xlfn.XLOOKUP(A256,'[1]By Project'!$B:$B,'[1]By Project'!$C:$C,0)</f>
        <v>Post Merger Integration</v>
      </c>
    </row>
    <row r="257" spans="1:4">
      <c r="A257" s="20" t="s">
        <v>303</v>
      </c>
      <c r="B257" s="20" t="s">
        <v>60</v>
      </c>
      <c r="C257" s="20" t="s">
        <v>13</v>
      </c>
      <c r="D257" s="20" t="str">
        <f>_xlfn.XLOOKUP(A257,'[1]By Project'!$B:$B,'[1]By Project'!$C:$C,0)</f>
        <v>Legacy projects</v>
      </c>
    </row>
    <row r="258" spans="1:4" hidden="1">
      <c r="A258" s="20" t="s">
        <v>304</v>
      </c>
      <c r="B258" s="20" t="s">
        <v>8</v>
      </c>
      <c r="C258" s="20" t="s">
        <v>8</v>
      </c>
      <c r="D258" s="20" t="str">
        <f>_xlfn.XLOOKUP(A258,'[1]By Project'!$B:$B,'[1]By Project'!$C:$C,0)</f>
        <v>Post Merger Integration</v>
      </c>
    </row>
    <row r="259" spans="1:4" hidden="1">
      <c r="A259" s="20" t="s">
        <v>305</v>
      </c>
      <c r="B259" s="20" t="s">
        <v>168</v>
      </c>
      <c r="C259" s="20" t="s">
        <v>19</v>
      </c>
      <c r="D259" s="20" t="str">
        <f>_xlfn.XLOOKUP(A259,'[1]By Project'!$B:$B,'[1]By Project'!$C:$C,0)</f>
        <v>Strategic Finance Transformation</v>
      </c>
    </row>
    <row r="260" spans="1:4" hidden="1">
      <c r="A260" s="20" t="s">
        <v>306</v>
      </c>
      <c r="B260" s="20" t="s">
        <v>50</v>
      </c>
      <c r="C260" s="20" t="s">
        <v>6</v>
      </c>
      <c r="D260" s="20" t="str">
        <f>_xlfn.XLOOKUP(A260,'[1]By Project'!$B:$B,'[1]By Project'!$C:$C,0)</f>
        <v>Post Merger Integration</v>
      </c>
    </row>
    <row r="261" spans="1:4" hidden="1">
      <c r="A261" s="20" t="s">
        <v>307</v>
      </c>
      <c r="B261" s="20" t="s">
        <v>8</v>
      </c>
      <c r="C261" s="20" t="s">
        <v>8</v>
      </c>
      <c r="D261" s="20" t="str">
        <f>_xlfn.XLOOKUP(A261,'[1]By Project'!$B:$B,'[1]By Project'!$C:$C,0)</f>
        <v>Strategic Finance Transformation</v>
      </c>
    </row>
    <row r="262" spans="1:4">
      <c r="A262" s="20" t="s">
        <v>308</v>
      </c>
      <c r="B262" s="20" t="s">
        <v>96</v>
      </c>
      <c r="C262" s="20" t="s">
        <v>13</v>
      </c>
      <c r="D262" s="20" t="str">
        <f>_xlfn.XLOOKUP(A262,'[1]By Project'!$B:$B,'[1]By Project'!$C:$C,0)</f>
        <v>Strategic Finance Transformation</v>
      </c>
    </row>
    <row r="263" spans="1:4" hidden="1">
      <c r="A263" s="20" t="s">
        <v>309</v>
      </c>
      <c r="B263" s="20" t="s">
        <v>217</v>
      </c>
      <c r="C263" s="20" t="s">
        <v>19</v>
      </c>
      <c r="D263" s="20" t="str">
        <f>_xlfn.XLOOKUP(A263,'[1]By Project'!$B:$B,'[1]By Project'!$C:$C,0)</f>
        <v>Strategic Finance Transformation</v>
      </c>
    </row>
    <row r="264" spans="1:4">
      <c r="A264" s="20" t="s">
        <v>310</v>
      </c>
      <c r="B264" s="20" t="s">
        <v>21</v>
      </c>
      <c r="C264" s="20" t="s">
        <v>13</v>
      </c>
      <c r="D264" s="20" t="str">
        <f>_xlfn.XLOOKUP(A264,'[1]By Project'!$B:$B,'[1]By Project'!$C:$C,0)</f>
        <v>Strategy and Growth</v>
      </c>
    </row>
    <row r="265" spans="1:4">
      <c r="A265" s="20" t="s">
        <v>311</v>
      </c>
      <c r="B265" s="20" t="s">
        <v>48</v>
      </c>
      <c r="C265" s="20" t="s">
        <v>13</v>
      </c>
      <c r="D265" s="20" t="str">
        <f>_xlfn.XLOOKUP(A265,'[1]By Project'!$B:$B,'[1]By Project'!$C:$C,0)</f>
        <v>Strategic Finance Transformation</v>
      </c>
    </row>
    <row r="266" spans="1:4">
      <c r="A266" s="20" t="s">
        <v>312</v>
      </c>
      <c r="B266" s="20" t="s">
        <v>21</v>
      </c>
      <c r="C266" s="20" t="s">
        <v>13</v>
      </c>
      <c r="D266" s="20" t="str">
        <f>_xlfn.XLOOKUP(A266,'[1]By Project'!$B:$B,'[1]By Project'!$C:$C,0)</f>
        <v>Strategic Finance Transformation</v>
      </c>
    </row>
    <row r="267" spans="1:4" hidden="1">
      <c r="A267" s="20" t="s">
        <v>313</v>
      </c>
      <c r="B267" s="20" t="s">
        <v>36</v>
      </c>
      <c r="C267" s="20" t="s">
        <v>19</v>
      </c>
      <c r="D267" s="20" t="str">
        <f>_xlfn.XLOOKUP(A267,'[1]By Project'!$B:$B,'[1]By Project'!$C:$C,0)</f>
        <v>Legacy projects</v>
      </c>
    </row>
    <row r="268" spans="1:4">
      <c r="A268" s="20" t="s">
        <v>314</v>
      </c>
      <c r="B268" s="20" t="s">
        <v>8</v>
      </c>
      <c r="C268" s="20" t="s">
        <v>13</v>
      </c>
      <c r="D268" s="20" t="str">
        <f>_xlfn.XLOOKUP(A268,'[1]By Project'!$B:$B,'[1]By Project'!$C:$C,0)</f>
        <v>Strategic Finance Transformation</v>
      </c>
    </row>
    <row r="269" spans="1:4">
      <c r="A269" s="20" t="s">
        <v>315</v>
      </c>
      <c r="B269" s="20" t="s">
        <v>31</v>
      </c>
      <c r="C269" s="20" t="s">
        <v>13</v>
      </c>
      <c r="D269" s="20" t="str">
        <f>_xlfn.XLOOKUP(A269,'[1]By Project'!$B:$B,'[1]By Project'!$C:$C,0)</f>
        <v>Strategic Finance Transformation</v>
      </c>
    </row>
    <row r="270" spans="1:4">
      <c r="A270" s="20" t="s">
        <v>316</v>
      </c>
      <c r="B270" s="20" t="s">
        <v>8</v>
      </c>
      <c r="C270" s="20" t="s">
        <v>13</v>
      </c>
      <c r="D270" s="20" t="str">
        <f>_xlfn.XLOOKUP(A270,'[1]By Project'!$B:$B,'[1]By Project'!$C:$C,0)</f>
        <v>Strategic Finance Transformation</v>
      </c>
    </row>
  </sheetData>
  <autoFilter ref="A1:D270" xr:uid="{E801AA5B-142D-4EB6-9696-25137561DA39}">
    <filterColumn colId="2">
      <filters>
        <filter val="Family owned"/>
        <filter val="Joint venture"/>
        <filter val="Private limited"/>
      </filters>
    </filterColumn>
  </autoFilter>
  <conditionalFormatting sqref="C3:C270">
    <cfRule type="containsText" priority="1" operator="containsText" text="Family owned">
      <formula>NOT(ISERROR(SEARCH("Family owned",C3)))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2ABA-ADD7-4888-914F-DFAFE39E4F5B}">
  <dimension ref="A1:Q41"/>
  <sheetViews>
    <sheetView topLeftCell="H22" workbookViewId="0">
      <selection activeCell="F6" sqref="F6"/>
    </sheetView>
  </sheetViews>
  <sheetFormatPr defaultRowHeight="14.45"/>
  <cols>
    <col min="1" max="1" width="36.42578125" customWidth="1"/>
    <col min="2" max="2" width="10.85546875" customWidth="1"/>
    <col min="3" max="3" width="15.42578125" customWidth="1"/>
    <col min="4" max="4" width="5.42578125" customWidth="1"/>
    <col min="5" max="5" width="27.28515625" customWidth="1"/>
    <col min="6" max="6" width="10.85546875" customWidth="1"/>
    <col min="7" max="7" width="15.42578125" customWidth="1"/>
    <col min="9" max="9" width="14.5703125" customWidth="1"/>
    <col min="10" max="10" width="1.85546875" customWidth="1"/>
    <col min="11" max="11" width="14.5703125" customWidth="1"/>
    <col min="12" max="12" width="1.85546875" customWidth="1"/>
    <col min="13" max="13" width="18.140625" customWidth="1"/>
    <col min="14" max="14" width="1.85546875" customWidth="1"/>
    <col min="15" max="15" width="21.85546875" customWidth="1"/>
    <col min="16" max="16" width="1.85546875" customWidth="1"/>
    <col min="17" max="17" width="18.140625" customWidth="1"/>
  </cols>
  <sheetData>
    <row r="1" spans="1:17" ht="26.1">
      <c r="A1" s="1" t="s">
        <v>317</v>
      </c>
      <c r="I1" s="10" t="s">
        <v>318</v>
      </c>
      <c r="K1" s="12" t="s">
        <v>319</v>
      </c>
      <c r="M1" s="14" t="s">
        <v>320</v>
      </c>
      <c r="O1" s="16" t="s">
        <v>321</v>
      </c>
      <c r="Q1" s="10" t="s">
        <v>322</v>
      </c>
    </row>
    <row r="2" spans="1:17" ht="30.95">
      <c r="A2" s="2" t="s">
        <v>323</v>
      </c>
      <c r="I2" s="11">
        <f>COUNTA(Clients!A:A)-1</f>
        <v>269</v>
      </c>
      <c r="K2" s="13" cm="1">
        <f t="array" ref="K2">SUMPRODUCT((B6:B38&gt;0)*1)</f>
        <v>33</v>
      </c>
      <c r="M2" s="15" cm="1">
        <f t="array" ref="M2">SUMPRODUCT((F6:F16&gt;0)*1)</f>
        <v>11</v>
      </c>
      <c r="O2" s="17" t="str">
        <f>INDEX(A6:A38,MATCH(MAX(B6:B38),B6:B38,0))</f>
        <v>Professional Services</v>
      </c>
      <c r="Q2" s="18" t="str">
        <f>INDEX(E6:E16,MATCH(MAX(F6:F16),F6:F16,0))</f>
        <v>Private limited</v>
      </c>
    </row>
    <row r="4" spans="1:17" ht="18.600000000000001">
      <c r="A4" s="3" t="s">
        <v>324</v>
      </c>
      <c r="E4" s="3" t="s">
        <v>325</v>
      </c>
    </row>
    <row r="5" spans="1:17">
      <c r="A5" s="4" t="s">
        <v>1</v>
      </c>
      <c r="B5" s="4" t="s">
        <v>326</v>
      </c>
      <c r="C5" s="4" t="s">
        <v>327</v>
      </c>
      <c r="E5" s="4" t="s">
        <v>328</v>
      </c>
      <c r="F5" s="4" t="s">
        <v>326</v>
      </c>
      <c r="G5" s="4" t="s">
        <v>327</v>
      </c>
    </row>
    <row r="6" spans="1:17">
      <c r="A6" s="6" t="s">
        <v>65</v>
      </c>
      <c r="B6" s="6">
        <f>COUNTIF(Clients!B:B,A6)</f>
        <v>6</v>
      </c>
      <c r="C6" s="7">
        <f t="shared" ref="C6:C38" si="0">IF(B6&gt;0,B6/SUM($B$6:$B$38),0)</f>
        <v>2.2304832713754646E-2</v>
      </c>
      <c r="E6" s="6" t="s">
        <v>13</v>
      </c>
      <c r="F6" s="6">
        <f>COUNTIF(Clients!C:C,E6)</f>
        <v>141</v>
      </c>
      <c r="G6" s="7">
        <f t="shared" ref="G6:G16" si="1">IF(F6&gt;0,F6/SUM($F$6:$F$16),0)</f>
        <v>0.52416356877323422</v>
      </c>
    </row>
    <row r="7" spans="1:17">
      <c r="A7" t="s">
        <v>128</v>
      </c>
      <c r="B7">
        <f>COUNTIF(Clients!B:B,A7)</f>
        <v>1</v>
      </c>
      <c r="C7" s="5">
        <f t="shared" si="0"/>
        <v>3.7174721189591076E-3</v>
      </c>
      <c r="E7" t="s">
        <v>10</v>
      </c>
      <c r="F7">
        <f>COUNTIF(Clients!C:C,E7)</f>
        <v>30</v>
      </c>
      <c r="G7" s="5">
        <f t="shared" si="1"/>
        <v>0.11152416356877323</v>
      </c>
    </row>
    <row r="8" spans="1:17">
      <c r="A8" s="6" t="s">
        <v>12</v>
      </c>
      <c r="B8" s="6">
        <f>COUNTIF(Clients!B:B,A8)</f>
        <v>2</v>
      </c>
      <c r="C8" s="7">
        <f t="shared" si="0"/>
        <v>7.4349442379182153E-3</v>
      </c>
      <c r="E8" s="6" t="s">
        <v>6</v>
      </c>
      <c r="F8" s="6">
        <f>COUNTIF(Clients!C:C,E8)</f>
        <v>18</v>
      </c>
      <c r="G8" s="7">
        <f t="shared" si="1"/>
        <v>6.6914498141263934E-2</v>
      </c>
    </row>
    <row r="9" spans="1:17">
      <c r="A9" t="s">
        <v>21</v>
      </c>
      <c r="B9">
        <f>COUNTIF(Clients!B:B,A9)</f>
        <v>17</v>
      </c>
      <c r="C9" s="5">
        <f t="shared" si="0"/>
        <v>6.3197026022304828E-2</v>
      </c>
      <c r="E9" t="s">
        <v>19</v>
      </c>
      <c r="F9">
        <f>COUNTIF(Clients!C:C,E9)</f>
        <v>40</v>
      </c>
      <c r="G9" s="5">
        <f t="shared" si="1"/>
        <v>0.14869888475836432</v>
      </c>
    </row>
    <row r="10" spans="1:17">
      <c r="A10" s="6" t="s">
        <v>123</v>
      </c>
      <c r="B10" s="6">
        <f>COUNTIF(Clients!B:B,A10)</f>
        <v>8</v>
      </c>
      <c r="C10" s="7">
        <f t="shared" si="0"/>
        <v>2.9739776951672861E-2</v>
      </c>
      <c r="E10" s="6" t="s">
        <v>23</v>
      </c>
      <c r="F10" s="6">
        <f>COUNTIF(Clients!C:C,E10)</f>
        <v>12</v>
      </c>
      <c r="G10" s="7">
        <f t="shared" si="1"/>
        <v>4.4609665427509292E-2</v>
      </c>
    </row>
    <row r="11" spans="1:17">
      <c r="A11" t="s">
        <v>78</v>
      </c>
      <c r="B11">
        <f>COUNTIF(Clients!B:B,A11)</f>
        <v>2</v>
      </c>
      <c r="C11" s="5">
        <f t="shared" si="0"/>
        <v>7.4349442379182153E-3</v>
      </c>
      <c r="E11" t="s">
        <v>158</v>
      </c>
      <c r="F11">
        <f>COUNTIF(Clients!C:C,E11)</f>
        <v>4</v>
      </c>
      <c r="G11" s="5">
        <f t="shared" si="1"/>
        <v>1.4869888475836431E-2</v>
      </c>
    </row>
    <row r="12" spans="1:17">
      <c r="A12" s="6" t="s">
        <v>60</v>
      </c>
      <c r="B12" s="6">
        <f>COUNTIF(Clients!B:B,A12)</f>
        <v>4</v>
      </c>
      <c r="C12" s="7">
        <f t="shared" si="0"/>
        <v>1.4869888475836431E-2</v>
      </c>
      <c r="E12" s="6" t="s">
        <v>125</v>
      </c>
      <c r="F12" s="6">
        <f>COUNTIF(Clients!C:C,E12)</f>
        <v>1</v>
      </c>
      <c r="G12" s="7">
        <f t="shared" si="1"/>
        <v>3.7174721189591076E-3</v>
      </c>
    </row>
    <row r="13" spans="1:17">
      <c r="A13" t="s">
        <v>96</v>
      </c>
      <c r="B13">
        <f>COUNTIF(Clients!B:B,A13)</f>
        <v>9</v>
      </c>
      <c r="C13" s="5">
        <f t="shared" si="0"/>
        <v>3.3457249070631967E-2</v>
      </c>
      <c r="E13" t="s">
        <v>263</v>
      </c>
      <c r="F13">
        <f>COUNTIF(Clients!C:C,E13)</f>
        <v>1</v>
      </c>
      <c r="G13" s="5">
        <f t="shared" si="1"/>
        <v>3.7174721189591076E-3</v>
      </c>
    </row>
    <row r="14" spans="1:17">
      <c r="A14" s="6" t="s">
        <v>179</v>
      </c>
      <c r="B14" s="6">
        <f>COUNTIF(Clients!B:B,A14)</f>
        <v>1</v>
      </c>
      <c r="C14" s="7">
        <f t="shared" si="0"/>
        <v>3.7174721189591076E-3</v>
      </c>
      <c r="E14" s="6" t="s">
        <v>221</v>
      </c>
      <c r="F14" s="6">
        <f>COUNTIF(Clients!C:C,E14)</f>
        <v>1</v>
      </c>
      <c r="G14" s="7">
        <f t="shared" si="1"/>
        <v>3.7174721189591076E-3</v>
      </c>
    </row>
    <row r="15" spans="1:17">
      <c r="A15" t="s">
        <v>18</v>
      </c>
      <c r="B15">
        <f>COUNTIF(Clients!B:B,A15)</f>
        <v>12</v>
      </c>
      <c r="C15" s="5">
        <f t="shared" si="0"/>
        <v>4.4609665427509292E-2</v>
      </c>
      <c r="E15" t="s">
        <v>34</v>
      </c>
      <c r="F15">
        <f>COUNTIF(Clients!C:C,E15)</f>
        <v>2</v>
      </c>
      <c r="G15" s="5">
        <f t="shared" si="1"/>
        <v>7.4349442379182153E-3</v>
      </c>
    </row>
    <row r="16" spans="1:17">
      <c r="A16" s="6" t="s">
        <v>217</v>
      </c>
      <c r="B16" s="6">
        <f>COUNTIF(Clients!B:B,A16)</f>
        <v>3</v>
      </c>
      <c r="C16" s="7">
        <f t="shared" si="0"/>
        <v>1.1152416356877323E-2</v>
      </c>
      <c r="E16" s="6" t="s">
        <v>8</v>
      </c>
      <c r="F16" s="6">
        <f>COUNTIF(Clients!C:C,E16)</f>
        <v>19</v>
      </c>
      <c r="G16" s="7">
        <f t="shared" si="1"/>
        <v>7.0631970260223054E-2</v>
      </c>
    </row>
    <row r="17" spans="1:7">
      <c r="A17" t="s">
        <v>36</v>
      </c>
      <c r="B17">
        <f>COUNTIF(Clients!B:B,A17)</f>
        <v>11</v>
      </c>
      <c r="C17" s="5">
        <f t="shared" si="0"/>
        <v>4.0892193308550186E-2</v>
      </c>
      <c r="E17" s="8" t="s">
        <v>329</v>
      </c>
      <c r="F17" s="8">
        <f>SUM(F6:F16)</f>
        <v>269</v>
      </c>
      <c r="G17" s="9">
        <f>SUM(G6:G16)</f>
        <v>1.0000000000000002</v>
      </c>
    </row>
    <row r="18" spans="1:7">
      <c r="A18" s="6" t="s">
        <v>85</v>
      </c>
      <c r="B18" s="6">
        <f>COUNTIF(Clients!B:B,A18)</f>
        <v>3</v>
      </c>
      <c r="C18" s="7">
        <f t="shared" si="0"/>
        <v>1.1152416356877323E-2</v>
      </c>
    </row>
    <row r="19" spans="1:7">
      <c r="A19" t="s">
        <v>74</v>
      </c>
      <c r="B19">
        <f>COUNTIF(Clients!B:B,A19)</f>
        <v>9</v>
      </c>
      <c r="C19" s="5">
        <f t="shared" si="0"/>
        <v>3.3457249070631967E-2</v>
      </c>
    </row>
    <row r="20" spans="1:7">
      <c r="A20" s="6" t="s">
        <v>56</v>
      </c>
      <c r="B20" s="6">
        <f>COUNTIF(Clients!B:B,A20)</f>
        <v>5</v>
      </c>
      <c r="C20" s="7">
        <f t="shared" si="0"/>
        <v>1.858736059479554E-2</v>
      </c>
    </row>
    <row r="21" spans="1:7">
      <c r="A21" t="s">
        <v>70</v>
      </c>
      <c r="B21">
        <f>COUNTIF(Clients!B:B,A21)</f>
        <v>1</v>
      </c>
      <c r="C21" s="5">
        <f t="shared" si="0"/>
        <v>3.7174721189591076E-3</v>
      </c>
    </row>
    <row r="22" spans="1:7">
      <c r="A22" s="6" t="s">
        <v>168</v>
      </c>
      <c r="B22" s="6">
        <f>COUNTIF(Clients!B:B,A22)</f>
        <v>2</v>
      </c>
      <c r="C22" s="7">
        <f t="shared" si="0"/>
        <v>7.4349442379182153E-3</v>
      </c>
    </row>
    <row r="23" spans="1:7">
      <c r="A23" t="s">
        <v>5</v>
      </c>
      <c r="B23">
        <f>COUNTIF(Clients!B:B,A23)</f>
        <v>23</v>
      </c>
      <c r="C23" s="5">
        <f t="shared" si="0"/>
        <v>8.5501858736059477E-2</v>
      </c>
    </row>
    <row r="24" spans="1:7">
      <c r="A24" s="6" t="s">
        <v>25</v>
      </c>
      <c r="B24" s="6">
        <f>COUNTIF(Clients!B:B,A24)</f>
        <v>6</v>
      </c>
      <c r="C24" s="7">
        <f t="shared" si="0"/>
        <v>2.2304832713754646E-2</v>
      </c>
    </row>
    <row r="25" spans="1:7">
      <c r="A25" t="s">
        <v>31</v>
      </c>
      <c r="B25">
        <f>COUNTIF(Clients!B:B,A25)</f>
        <v>15</v>
      </c>
      <c r="C25" s="5">
        <f t="shared" si="0"/>
        <v>5.5762081784386616E-2</v>
      </c>
    </row>
    <row r="26" spans="1:7">
      <c r="A26" s="6" t="s">
        <v>27</v>
      </c>
      <c r="B26" s="6">
        <f>COUNTIF(Clients!B:B,A26)</f>
        <v>5</v>
      </c>
      <c r="C26" s="7">
        <f t="shared" si="0"/>
        <v>1.858736059479554E-2</v>
      </c>
    </row>
    <row r="27" spans="1:7">
      <c r="A27" t="s">
        <v>137</v>
      </c>
      <c r="B27">
        <f>COUNTIF(Clients!B:B,A27)</f>
        <v>2</v>
      </c>
      <c r="C27" s="5">
        <f t="shared" si="0"/>
        <v>7.4349442379182153E-3</v>
      </c>
    </row>
    <row r="28" spans="1:7">
      <c r="A28" s="6" t="s">
        <v>90</v>
      </c>
      <c r="B28" s="6">
        <f>COUNTIF(Clients!B:B,A28)</f>
        <v>6</v>
      </c>
      <c r="C28" s="7">
        <f t="shared" si="0"/>
        <v>2.2304832713754646E-2</v>
      </c>
    </row>
    <row r="29" spans="1:7">
      <c r="A29" t="s">
        <v>8</v>
      </c>
      <c r="B29">
        <f>COUNTIF(Clients!B:B,A29)</f>
        <v>27</v>
      </c>
      <c r="C29" s="5">
        <f t="shared" si="0"/>
        <v>0.10037174721189591</v>
      </c>
    </row>
    <row r="30" spans="1:7">
      <c r="A30" s="6" t="s">
        <v>48</v>
      </c>
      <c r="B30" s="6">
        <f>COUNTIF(Clients!B:B,A30)</f>
        <v>13</v>
      </c>
      <c r="C30" s="7">
        <f t="shared" si="0"/>
        <v>4.8327137546468404E-2</v>
      </c>
    </row>
    <row r="31" spans="1:7">
      <c r="A31" t="s">
        <v>15</v>
      </c>
      <c r="B31">
        <f>COUNTIF(Clients!B:B,A31)</f>
        <v>28</v>
      </c>
      <c r="C31" s="5">
        <f t="shared" si="0"/>
        <v>0.10408921933085502</v>
      </c>
    </row>
    <row r="32" spans="1:7">
      <c r="A32" s="6" t="s">
        <v>41</v>
      </c>
      <c r="B32" s="6">
        <f>COUNTIF(Clients!B:B,A32)</f>
        <v>5</v>
      </c>
      <c r="C32" s="7">
        <f t="shared" si="0"/>
        <v>1.858736059479554E-2</v>
      </c>
    </row>
    <row r="33" spans="1:3">
      <c r="A33" t="s">
        <v>43</v>
      </c>
      <c r="B33">
        <f>COUNTIF(Clients!B:B,A33)</f>
        <v>7</v>
      </c>
      <c r="C33" s="5">
        <f t="shared" si="0"/>
        <v>2.6022304832713755E-2</v>
      </c>
    </row>
    <row r="34" spans="1:3">
      <c r="A34" s="6" t="s">
        <v>113</v>
      </c>
      <c r="B34" s="6">
        <f>COUNTIF(Clients!B:B,A34)</f>
        <v>2</v>
      </c>
      <c r="C34" s="7">
        <f t="shared" si="0"/>
        <v>7.4349442379182153E-3</v>
      </c>
    </row>
    <row r="35" spans="1:3">
      <c r="A35" t="s">
        <v>50</v>
      </c>
      <c r="B35">
        <f>COUNTIF(Clients!B:B,A35)</f>
        <v>18</v>
      </c>
      <c r="C35" s="5">
        <f t="shared" si="0"/>
        <v>6.6914498141263934E-2</v>
      </c>
    </row>
    <row r="36" spans="1:3">
      <c r="A36" s="6" t="s">
        <v>105</v>
      </c>
      <c r="B36" s="6">
        <f>COUNTIF(Clients!B:B,A36)</f>
        <v>2</v>
      </c>
      <c r="C36" s="7">
        <f t="shared" si="0"/>
        <v>7.4349442379182153E-3</v>
      </c>
    </row>
    <row r="37" spans="1:3">
      <c r="A37" t="s">
        <v>45</v>
      </c>
      <c r="B37">
        <f>COUNTIF(Clients!B:B,A37)</f>
        <v>9</v>
      </c>
      <c r="C37" s="5">
        <f t="shared" si="0"/>
        <v>3.3457249070631967E-2</v>
      </c>
    </row>
    <row r="38" spans="1:3">
      <c r="A38" s="6" t="s">
        <v>33</v>
      </c>
      <c r="B38" s="6">
        <f>COUNTIF(Clients!B:B,A38)</f>
        <v>5</v>
      </c>
      <c r="C38" s="7">
        <f t="shared" si="0"/>
        <v>1.858736059479554E-2</v>
      </c>
    </row>
    <row r="39" spans="1:3">
      <c r="A39" s="8" t="s">
        <v>329</v>
      </c>
      <c r="B39" s="8">
        <f>SUM(B6:B38)</f>
        <v>269</v>
      </c>
      <c r="C39" s="9">
        <f>SUM(C6:C38)</f>
        <v>0.99999999999999989</v>
      </c>
    </row>
    <row r="41" spans="1:3">
      <c r="A41" s="19" t="s">
        <v>330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Practus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Mahak Advani</dc:creator>
  <cp:keywords/>
  <dc:description/>
  <cp:lastModifiedBy/>
  <cp:revision/>
  <dcterms:created xsi:type="dcterms:W3CDTF">2026-03-19T06:28:00Z</dcterms:created>
  <dcterms:modified xsi:type="dcterms:W3CDTF">2026-08-18T07:56:23Z</dcterms:modified>
  <cp:category/>
  <cp:contentStatus/>
</cp:coreProperties>
</file>